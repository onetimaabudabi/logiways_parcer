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kantarova\OneDrive - FESCO\Documents\MATRICES\FTBS\2026\AUG 2026\"/>
    </mc:Choice>
  </mc:AlternateContent>
  <xr:revisionPtr revIDLastSave="0" documentId="13_ncr:1_{318E4998-B594-468D-9F0E-329E47ECA06A}" xr6:coauthVersionLast="36" xr6:coauthVersionMax="36" xr10:uidLastSave="{00000000-0000-0000-0000-000000000000}"/>
  <bookViews>
    <workbookView xWindow="0" yWindow="0" windowWidth="28800" windowHeight="11625" xr2:uid="{00000000-000D-0000-FFFF-FFFF00000000}"/>
  </bookViews>
  <sheets>
    <sheet name="FTBS Tariff" sheetId="1" r:id="rId1"/>
    <sheet name="IMO" sheetId="3" r:id="rId2"/>
    <sheet name="DEMDET" sheetId="4" r:id="rId3"/>
    <sheet name="Contact List" sheetId="2" r:id="rId4"/>
  </sheets>
  <definedNames>
    <definedName name="_xlnm.Print_Area" localSheetId="0">'FTBS Tariff'!$A$1:$K$5</definedName>
  </definedNames>
  <calcPr calcId="191029"/>
</workbook>
</file>

<file path=xl/calcChain.xml><?xml version="1.0" encoding="utf-8"?>
<calcChain xmlns="http://schemas.openxmlformats.org/spreadsheetml/2006/main">
  <c r="C9" i="3" l="1"/>
  <c r="D9" i="3"/>
  <c r="C10" i="3"/>
  <c r="D10" i="3"/>
  <c r="D11" i="3" l="1"/>
  <c r="C11" i="3"/>
  <c r="D6" i="3"/>
  <c r="F13" i="1" l="1"/>
  <c r="G13" i="1"/>
  <c r="F14" i="1"/>
  <c r="G14" i="1"/>
  <c r="G6" i="1" l="1"/>
  <c r="F6" i="1"/>
  <c r="F12" i="1"/>
  <c r="G12" i="1"/>
  <c r="C12" i="1"/>
  <c r="D12" i="1"/>
  <c r="E13" i="1" l="1"/>
  <c r="E6" i="1" l="1"/>
  <c r="B14" i="1" l="1"/>
  <c r="E14" i="1" s="1"/>
  <c r="H13" i="1" l="1"/>
  <c r="B7" i="1" l="1"/>
  <c r="C7" i="1"/>
  <c r="F7" i="1" s="1"/>
  <c r="D7" i="1"/>
  <c r="G7" i="1" s="1"/>
  <c r="E7" i="1"/>
  <c r="A14" i="1"/>
</calcChain>
</file>

<file path=xl/sharedStrings.xml><?xml version="1.0" encoding="utf-8"?>
<sst xmlns="http://schemas.openxmlformats.org/spreadsheetml/2006/main" count="170" uniqueCount="132">
  <si>
    <t>40'</t>
  </si>
  <si>
    <t>Validity</t>
  </si>
  <si>
    <t>HWS</t>
  </si>
  <si>
    <t>Local charges both ends</t>
  </si>
  <si>
    <t>Subject to:</t>
  </si>
  <si>
    <t>FIOS Ocean Freight (USD) COC</t>
  </si>
  <si>
    <t>FIOS Ocean Freight (USD) SOC</t>
  </si>
  <si>
    <t>20'</t>
  </si>
  <si>
    <t>Subject to DTHC (USD):</t>
  </si>
  <si>
    <t>Company Name</t>
  </si>
  <si>
    <t>EORI Number</t>
  </si>
  <si>
    <t>Title</t>
  </si>
  <si>
    <t>E-Mail Address</t>
  </si>
  <si>
    <t>Tel</t>
  </si>
  <si>
    <t>Fax</t>
  </si>
  <si>
    <t>FESCO OCEAN MANAGMENT LIMITED</t>
  </si>
  <si>
    <t>CY10096069X</t>
  </si>
  <si>
    <t>General Manager</t>
  </si>
  <si>
    <t>Novorossiysk</t>
  </si>
  <si>
    <t>FESCO Intergrated Transport (Novorossiysk)</t>
  </si>
  <si>
    <t>+7(8617)601881 ext.126</t>
  </si>
  <si>
    <t>+7(8617)601881 </t>
  </si>
  <si>
    <t xml:space="preserve">EB FTBS Tariff ex Turkey to Novorossiysk </t>
  </si>
  <si>
    <t>WB FTBS Tariff ex Novorossiysk to Turkey</t>
  </si>
  <si>
    <t>Customer Service Dept</t>
  </si>
  <si>
    <t>Olga Nikityuk</t>
  </si>
  <si>
    <t>OANikityuk@fesco.com</t>
  </si>
  <si>
    <t xml:space="preserve">(7) 8617-601881 ext. 123 </t>
  </si>
  <si>
    <t>Currency</t>
  </si>
  <si>
    <t>USD</t>
  </si>
  <si>
    <t>IMO acceptance upon request</t>
  </si>
  <si>
    <t>ALL Dangerous Goods are subject to preliminary advice from POTS/POD and Carrier's approval</t>
  </si>
  <si>
    <t>1. The authorization letter by the cargo owner</t>
  </si>
  <si>
    <t>2. Corresponding DG cargo technical specification or MSDS.</t>
  </si>
  <si>
    <t>NB ex Ambarli to Novorossiysk</t>
  </si>
  <si>
    <t>40'DC COC not accepted in Novorossiysk</t>
  </si>
  <si>
    <t>Flexi tanks surcharge USD 125/unit</t>
  </si>
  <si>
    <t>Turkey</t>
  </si>
  <si>
    <t>Ceyda Aksu</t>
  </si>
  <si>
    <t>BARKON Agency (Istanbul)</t>
  </si>
  <si>
    <t>caksu@barkonship.com</t>
  </si>
  <si>
    <t>+90 216 5388888 (ext. 8704</t>
  </si>
  <si>
    <t>Line Management</t>
  </si>
  <si>
    <t xml:space="preserve"> Name</t>
  </si>
  <si>
    <t>Adriana Skantarova</t>
  </si>
  <si>
    <t>Ivan Shakhlamov</t>
  </si>
  <si>
    <t>AMBARLI</t>
  </si>
  <si>
    <t>Port of loading:</t>
  </si>
  <si>
    <t>Port of discharge:</t>
  </si>
  <si>
    <t>Sales Manager</t>
  </si>
  <si>
    <t>Anatoliy Markin</t>
  </si>
  <si>
    <t>AMarkin@fesco.com</t>
  </si>
  <si>
    <t>IShakhlamov@fesco.com</t>
  </si>
  <si>
    <t>ASkantarova@fesco.com</t>
  </si>
  <si>
    <t>GEBZE</t>
  </si>
  <si>
    <t>IMO THC in AMB/Gebze</t>
  </si>
  <si>
    <t>SS support/Schedules</t>
  </si>
  <si>
    <t>+357 252-73129</t>
  </si>
  <si>
    <t xml:space="preserve">+357 95529030 </t>
  </si>
  <si>
    <t>Operations Manager</t>
  </si>
  <si>
    <t>Fazli Ozturk</t>
  </si>
  <si>
    <t>fozturk@barkonship.com</t>
  </si>
  <si>
    <t xml:space="preserve">+90 216 5388888 (ext. 711) </t>
  </si>
  <si>
    <t xml:space="preserve">Port of dischage:
Novorossiysk (NLE) </t>
  </si>
  <si>
    <t xml:space="preserve">Port of loading: 
Novorossiysk (NLE) </t>
  </si>
  <si>
    <t>Subject to DTHC:</t>
  </si>
  <si>
    <t xml:space="preserve">to be paid in  (RUB) to local agent </t>
  </si>
  <si>
    <t>Subject to OTHC :</t>
  </si>
  <si>
    <t>LIFO Ocean Freight (USD) COC</t>
  </si>
  <si>
    <t>LIFO Ocean Freight (USD) SOC</t>
  </si>
  <si>
    <t xml:space="preserve">OTHC included  </t>
  </si>
  <si>
    <t>IMO THC in Novorossiysk</t>
  </si>
  <si>
    <t xml:space="preserve">IMO acceptance upon request </t>
  </si>
  <si>
    <t>Class 2,  5.1, 5.2</t>
  </si>
  <si>
    <t xml:space="preserve">to be paid in  (RUB) to local agent </t>
  </si>
  <si>
    <t>SB ex  Novorossiysk  to Ambarli</t>
  </si>
  <si>
    <t>Class 1; 6.2 and 7 cannot be accepted through the Bosphorus Straits</t>
  </si>
  <si>
    <t>For DG shipment, please get Novorossiysk and Turkish terminals confirmation prior to acceptance of booking and provide below compulsory doc. for smooth approval process:</t>
  </si>
  <si>
    <t>8-800-23-444-99 ext. 25013</t>
  </si>
  <si>
    <t>DEM/DET free period in NOVO</t>
  </si>
  <si>
    <t>$0.00</t>
  </si>
  <si>
    <t>fm 15 till 20</t>
  </si>
  <si>
    <t>$15.00</t>
  </si>
  <si>
    <t>$30.00</t>
  </si>
  <si>
    <t>fm 21</t>
  </si>
  <si>
    <t>$60.00</t>
  </si>
  <si>
    <t>Free perod - 15 days // ABC no free</t>
  </si>
  <si>
    <t>15 free</t>
  </si>
  <si>
    <t>fm 16 till 21</t>
  </si>
  <si>
    <t>fm 22</t>
  </si>
  <si>
    <t>DEM/DET free period in Turkey</t>
  </si>
  <si>
    <t>fm 11 till 20</t>
  </si>
  <si>
    <t>20 USD</t>
  </si>
  <si>
    <t>35 USD</t>
  </si>
  <si>
    <t>40 USD</t>
  </si>
  <si>
    <t>70 USD</t>
  </si>
  <si>
    <t>Novo Import</t>
  </si>
  <si>
    <t>Novo Export</t>
  </si>
  <si>
    <t>Turky Import / Export</t>
  </si>
  <si>
    <t>14 days free</t>
  </si>
  <si>
    <t>10 days free</t>
  </si>
  <si>
    <t>Free perod - 10 days // ABC no free</t>
  </si>
  <si>
    <t>Customer Service Dept.</t>
  </si>
  <si>
    <t>Berna Boztuna</t>
  </si>
  <si>
    <t>bboztuna@barkonship.com</t>
  </si>
  <si>
    <t>+90 216 5388888 (ext. 8703)</t>
  </si>
  <si>
    <t>+ 90 216 5388889</t>
  </si>
  <si>
    <t>-</t>
  </si>
  <si>
    <t>40'HC</t>
  </si>
  <si>
    <t>45'HCPW</t>
  </si>
  <si>
    <t>20'dc/TC</t>
  </si>
  <si>
    <t>N/A</t>
  </si>
  <si>
    <t>336/unit paid at POL</t>
  </si>
  <si>
    <t>336/unit paid at destination</t>
  </si>
  <si>
    <t>Line support/ Vsl. Planning</t>
  </si>
  <si>
    <t>Cenk Cevik</t>
  </si>
  <si>
    <t>ccevik@barkonship.com</t>
  </si>
  <si>
    <t xml:space="preserve">+90 216 5388888 (ext. 8803) </t>
  </si>
  <si>
    <t>Salesnvr@fesco.com</t>
  </si>
  <si>
    <t>(7) 8617-601881</t>
  </si>
  <si>
    <t>Sales Team FIT-Novo</t>
  </si>
  <si>
    <t>FTBS Contact List 2025</t>
  </si>
  <si>
    <t>Line &amp; Sales Manager</t>
  </si>
  <si>
    <t xml:space="preserve">Kryuchkova Aleksandra </t>
  </si>
  <si>
    <t>AKryuchkova@fesco.com</t>
  </si>
  <si>
    <t>8-800-23-444-99 ext. 22182</t>
  </si>
  <si>
    <t>GRI  usd 150/unit on EB route</t>
  </si>
  <si>
    <t>IMO THC Novorossiysk surcharge</t>
  </si>
  <si>
    <t>1/8 - 31/8/2026</t>
  </si>
  <si>
    <t>AKalchevskaya@fesco.com</t>
  </si>
  <si>
    <t>Anzhelika Kalchevskaya</t>
  </si>
  <si>
    <t>8-800-23-444-99 ext. 25010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</si>
</sst>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 Cyr"/>
      <charset val="204"/>
    </font>
    <font>
      <b/>
      <sz val="16"/>
      <color indexed="8"/>
      <name val="Cambria"/>
      <family val="1"/>
      <scheme val="major"/>
    </font>
    <font>
      <sz val="16"/>
      <color indexed="8"/>
      <name val="Cambria"/>
      <family val="1"/>
      <scheme val="major"/>
    </font>
    <font>
      <b/>
      <sz val="10"/>
      <color indexed="8"/>
      <name val="Cambria"/>
      <family val="1"/>
      <scheme val="major"/>
    </font>
    <font>
      <sz val="10"/>
      <color theme="1"/>
      <name val="Cambria"/>
      <family val="1"/>
      <scheme val="major"/>
    </font>
    <font>
      <sz val="10"/>
      <color indexed="8"/>
      <name val="Cambria"/>
      <family val="1"/>
      <scheme val="major"/>
    </font>
    <font>
      <sz val="10"/>
      <color indexed="10"/>
      <name val="Cambria"/>
      <family val="1"/>
      <scheme val="major"/>
    </font>
    <font>
      <sz val="10"/>
      <color indexed="8"/>
      <name val="Calibri"/>
      <family val="2"/>
      <charset val="204"/>
    </font>
    <font>
      <sz val="10"/>
      <name val="Calibri"/>
      <family val="2"/>
      <charset val="204"/>
    </font>
    <font>
      <b/>
      <sz val="10"/>
      <color indexed="10"/>
      <name val="Calibri"/>
      <family val="2"/>
      <charset val="204"/>
    </font>
    <font>
      <b/>
      <sz val="16"/>
      <color theme="0"/>
      <name val="Cambria"/>
      <family val="1"/>
      <scheme val="major"/>
    </font>
    <font>
      <b/>
      <sz val="10"/>
      <color indexed="12"/>
      <name val="Calibri"/>
      <family val="2"/>
      <charset val="204"/>
    </font>
    <font>
      <b/>
      <sz val="10"/>
      <color indexed="62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8"/>
      <name val="Calibri"/>
      <family val="2"/>
      <charset val="204"/>
      <scheme val="minor"/>
    </font>
    <font>
      <b/>
      <sz val="10"/>
      <color indexed="8"/>
      <name val="Calibri"/>
      <family val="2"/>
      <scheme val="minor"/>
    </font>
    <font>
      <sz val="11"/>
      <color rgb="FF1F497D"/>
      <name val="Calibri"/>
      <family val="2"/>
      <scheme val="minor"/>
    </font>
    <font>
      <b/>
      <sz val="12"/>
      <color indexed="9"/>
      <name val="Calibri"/>
      <family val="2"/>
      <charset val="204"/>
    </font>
    <font>
      <sz val="12"/>
      <name val="Arial"/>
      <family val="2"/>
      <charset val="204"/>
    </font>
    <font>
      <b/>
      <u/>
      <sz val="11"/>
      <color rgb="FFFF0000"/>
      <name val="Calibri"/>
      <family val="2"/>
    </font>
    <font>
      <b/>
      <u/>
      <sz val="24"/>
      <color indexed="9"/>
      <name val="Candara"/>
      <family val="2"/>
    </font>
    <font>
      <sz val="9"/>
      <color indexed="9"/>
      <name val="Candara"/>
      <family val="2"/>
    </font>
    <font>
      <sz val="9"/>
      <name val="Candara"/>
      <family val="2"/>
    </font>
    <font>
      <b/>
      <sz val="11"/>
      <color indexed="9"/>
      <name val="Candara"/>
      <family val="2"/>
    </font>
    <font>
      <sz val="10"/>
      <name val="Candara"/>
      <family val="2"/>
    </font>
    <font>
      <b/>
      <sz val="11"/>
      <name val="Candara"/>
      <family val="2"/>
    </font>
    <font>
      <u/>
      <sz val="10"/>
      <color indexed="12"/>
      <name val="Arial"/>
      <family val="2"/>
      <charset val="204"/>
    </font>
    <font>
      <u/>
      <sz val="10"/>
      <color indexed="48"/>
      <name val="Candara"/>
      <family val="2"/>
    </font>
    <font>
      <sz val="11"/>
      <color indexed="8"/>
      <name val="Calibri"/>
      <family val="2"/>
      <charset val="204"/>
    </font>
    <font>
      <b/>
      <u/>
      <sz val="10"/>
      <name val="Candara"/>
      <family val="2"/>
    </font>
    <font>
      <sz val="11"/>
      <name val="Candara"/>
      <family val="2"/>
    </font>
    <font>
      <b/>
      <sz val="9"/>
      <color indexed="8"/>
      <name val="Calibri"/>
      <family val="2"/>
    </font>
    <font>
      <sz val="12"/>
      <color indexed="8"/>
      <name val="Calibri"/>
      <family val="2"/>
      <charset val="204"/>
    </font>
    <font>
      <b/>
      <sz val="10"/>
      <color rgb="FFFFFFFF"/>
      <name val="Calibri"/>
      <family val="2"/>
    </font>
    <font>
      <b/>
      <sz val="10"/>
      <color rgb="FF1F497D"/>
      <name val="Calibri"/>
      <family val="2"/>
    </font>
    <font>
      <sz val="10"/>
      <color rgb="FF1F497D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2"/>
      <color rgb="FFFF0000"/>
      <name val="Calibri"/>
      <family val="2"/>
      <charset val="204"/>
      <scheme val="minor"/>
    </font>
    <font>
      <sz val="10"/>
      <color rgb="FF1F497D"/>
      <name val="Calibri"/>
      <family val="2"/>
      <charset val="204"/>
      <scheme val="minor"/>
    </font>
    <font>
      <b/>
      <sz val="10"/>
      <color rgb="FF1F497D"/>
      <name val="Calibri"/>
      <family val="2"/>
      <charset val="204"/>
    </font>
    <font>
      <sz val="10"/>
      <color rgb="FF1F497D"/>
      <name val="Calibri"/>
      <family val="2"/>
      <charset val="204"/>
    </font>
    <font>
      <sz val="11"/>
      <color rgb="FF1F497D"/>
      <name val="Calibri"/>
      <family val="2"/>
      <charset val="204"/>
      <scheme val="minor"/>
    </font>
    <font>
      <b/>
      <sz val="12"/>
      <color rgb="FFFF0000"/>
      <name val="Candara"/>
      <family val="2"/>
      <charset val="204"/>
    </font>
    <font>
      <sz val="10"/>
      <color rgb="FF1F497D"/>
      <name val="Segoe U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medium">
        <color indexed="64"/>
      </right>
      <top/>
      <bottom style="thin">
        <color indexed="9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0" fontId="3" fillId="0" borderId="0"/>
    <xf numFmtId="0" fontId="30" fillId="0" borderId="0" applyNumberFormat="0" applyFill="0" applyBorder="0" applyAlignment="0" applyProtection="0">
      <alignment vertical="top"/>
      <protection locked="0"/>
    </xf>
    <xf numFmtId="0" fontId="32" fillId="0" borderId="0"/>
    <xf numFmtId="0" fontId="2" fillId="0" borderId="0"/>
  </cellStyleXfs>
  <cellXfs count="138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3" fontId="8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0" fontId="10" fillId="0" borderId="0" xfId="0" applyFont="1"/>
    <xf numFmtId="0" fontId="14" fillId="4" borderId="2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3" fontId="11" fillId="3" borderId="2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20" fillId="0" borderId="0" xfId="0" applyFont="1"/>
    <xf numFmtId="0" fontId="23" fillId="2" borderId="0" xfId="0" applyFont="1" applyFill="1" applyAlignment="1">
      <alignment vertical="center"/>
    </xf>
    <xf numFmtId="0" fontId="24" fillId="6" borderId="14" xfId="0" applyFont="1" applyFill="1" applyBorder="1" applyAlignment="1">
      <alignment horizontal="left" vertical="center"/>
    </xf>
    <xf numFmtId="0" fontId="24" fillId="6" borderId="15" xfId="0" applyFont="1" applyFill="1" applyBorder="1" applyAlignment="1">
      <alignment horizontal="left" vertical="center"/>
    </xf>
    <xf numFmtId="0" fontId="25" fillId="6" borderId="15" xfId="0" applyFont="1" applyFill="1" applyBorder="1" applyAlignment="1">
      <alignment vertical="center"/>
    </xf>
    <xf numFmtId="0" fontId="25" fillId="6" borderId="15" xfId="0" applyFont="1" applyFill="1" applyBorder="1" applyAlignment="1">
      <alignment horizontal="center" vertical="center"/>
    </xf>
    <xf numFmtId="0" fontId="25" fillId="6" borderId="16" xfId="0" applyFont="1" applyFill="1" applyBorder="1" applyAlignment="1">
      <alignment vertical="center"/>
    </xf>
    <xf numFmtId="0" fontId="26" fillId="0" borderId="0" xfId="0" applyFont="1"/>
    <xf numFmtId="0" fontId="27" fillId="6" borderId="17" xfId="0" applyFont="1" applyFill="1" applyBorder="1" applyAlignment="1">
      <alignment horizontal="left" vertical="center"/>
    </xf>
    <xf numFmtId="0" fontId="27" fillId="6" borderId="18" xfId="0" applyFont="1" applyFill="1" applyBorder="1" applyAlignment="1">
      <alignment horizontal="left" vertical="center"/>
    </xf>
    <xf numFmtId="0" fontId="27" fillId="6" borderId="19" xfId="0" applyFont="1" applyFill="1" applyBorder="1" applyAlignment="1">
      <alignment horizontal="left" vertical="center"/>
    </xf>
    <xf numFmtId="0" fontId="28" fillId="0" borderId="0" xfId="0" applyFont="1"/>
    <xf numFmtId="0" fontId="27" fillId="6" borderId="20" xfId="0" applyFont="1" applyFill="1" applyBorder="1" applyAlignment="1">
      <alignment horizontal="center" vertical="center"/>
    </xf>
    <xf numFmtId="0" fontId="27" fillId="6" borderId="21" xfId="0" applyFont="1" applyFill="1" applyBorder="1" applyAlignment="1">
      <alignment horizontal="center" vertical="center"/>
    </xf>
    <xf numFmtId="0" fontId="28" fillId="0" borderId="22" xfId="0" applyFont="1" applyBorder="1" applyAlignment="1">
      <alignment vertical="center"/>
    </xf>
    <xf numFmtId="0" fontId="28" fillId="0" borderId="12" xfId="0" applyFont="1" applyBorder="1" applyAlignment="1">
      <alignment vertical="center"/>
    </xf>
    <xf numFmtId="0" fontId="31" fillId="0" borderId="2" xfId="4" applyFont="1" applyBorder="1" applyAlignment="1" applyProtection="1">
      <alignment vertical="center"/>
    </xf>
    <xf numFmtId="0" fontId="28" fillId="0" borderId="23" xfId="0" applyFont="1" applyBorder="1" applyAlignment="1">
      <alignment vertical="center"/>
    </xf>
    <xf numFmtId="3" fontId="28" fillId="0" borderId="2" xfId="0" quotePrefix="1" applyNumberFormat="1" applyFont="1" applyBorder="1" applyAlignment="1">
      <alignment horizontal="left" vertical="center"/>
    </xf>
    <xf numFmtId="0" fontId="28" fillId="0" borderId="23" xfId="0" quotePrefix="1" applyFont="1" applyBorder="1" applyAlignment="1">
      <alignment vertical="center"/>
    </xf>
    <xf numFmtId="3" fontId="28" fillId="0" borderId="23" xfId="0" quotePrefix="1" applyNumberFormat="1" applyFont="1" applyBorder="1" applyAlignment="1">
      <alignment horizontal="left" vertical="center"/>
    </xf>
    <xf numFmtId="0" fontId="27" fillId="6" borderId="20" xfId="0" applyFont="1" applyFill="1" applyBorder="1" applyAlignment="1">
      <alignment horizontal="left" vertical="center"/>
    </xf>
    <xf numFmtId="0" fontId="27" fillId="6" borderId="21" xfId="0" applyFont="1" applyFill="1" applyBorder="1" applyAlignment="1">
      <alignment horizontal="left" vertical="center"/>
    </xf>
    <xf numFmtId="3" fontId="28" fillId="0" borderId="2" xfId="0" applyNumberFormat="1" applyFont="1" applyBorder="1" applyAlignment="1">
      <alignment vertical="center"/>
    </xf>
    <xf numFmtId="3" fontId="28" fillId="0" borderId="2" xfId="0" quotePrefix="1" applyNumberFormat="1" applyFont="1" applyBorder="1" applyAlignment="1">
      <alignment vertical="center"/>
    </xf>
    <xf numFmtId="0" fontId="28" fillId="0" borderId="24" xfId="0" applyFont="1" applyBorder="1" applyAlignment="1">
      <alignment vertical="center"/>
    </xf>
    <xf numFmtId="0" fontId="28" fillId="0" borderId="25" xfId="0" applyFont="1" applyBorder="1" applyAlignment="1">
      <alignment vertical="center"/>
    </xf>
    <xf numFmtId="0" fontId="31" fillId="0" borderId="26" xfId="4" applyFont="1" applyBorder="1" applyAlignment="1" applyProtection="1">
      <alignment vertical="center"/>
    </xf>
    <xf numFmtId="0" fontId="28" fillId="0" borderId="27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27" fillId="6" borderId="0" xfId="0" applyFont="1" applyFill="1" applyAlignment="1">
      <alignment horizontal="center" vertical="center"/>
    </xf>
    <xf numFmtId="0" fontId="29" fillId="0" borderId="23" xfId="0" applyFont="1" applyBorder="1" applyAlignment="1">
      <alignment horizontal="left" vertical="center"/>
    </xf>
    <xf numFmtId="0" fontId="27" fillId="6" borderId="0" xfId="0" applyFont="1" applyFill="1" applyAlignment="1">
      <alignment horizontal="left" vertical="center"/>
    </xf>
    <xf numFmtId="0" fontId="28" fillId="0" borderId="8" xfId="0" applyFont="1" applyBorder="1" applyAlignment="1">
      <alignment vertical="center"/>
    </xf>
    <xf numFmtId="0" fontId="34" fillId="0" borderId="22" xfId="0" applyFont="1" applyBorder="1" applyAlignment="1">
      <alignment horizontal="left" vertical="center"/>
    </xf>
    <xf numFmtId="0" fontId="34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left" vertical="center"/>
    </xf>
    <xf numFmtId="0" fontId="6" fillId="2" borderId="4" xfId="0" applyFont="1" applyFill="1" applyBorder="1" applyAlignment="1">
      <alignment vertical="center"/>
    </xf>
    <xf numFmtId="3" fontId="8" fillId="2" borderId="4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vertical="center"/>
    </xf>
    <xf numFmtId="3" fontId="8" fillId="2" borderId="7" xfId="0" applyNumberFormat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vertical="center"/>
    </xf>
    <xf numFmtId="0" fontId="8" fillId="2" borderId="7" xfId="0" applyFont="1" applyFill="1" applyBorder="1" applyAlignment="1">
      <alignment horizontal="center" vertical="center"/>
    </xf>
    <xf numFmtId="0" fontId="35" fillId="4" borderId="2" xfId="0" applyFont="1" applyFill="1" applyBorder="1" applyAlignment="1">
      <alignment vertical="center"/>
    </xf>
    <xf numFmtId="0" fontId="36" fillId="4" borderId="2" xfId="0" applyFont="1" applyFill="1" applyBorder="1" applyAlignment="1">
      <alignment vertical="center"/>
    </xf>
    <xf numFmtId="0" fontId="34" fillId="0" borderId="12" xfId="0" applyFont="1" applyBorder="1" applyAlignment="1">
      <alignment horizontal="center" vertical="center"/>
    </xf>
    <xf numFmtId="0" fontId="37" fillId="8" borderId="28" xfId="0" applyFont="1" applyFill="1" applyBorder="1" applyAlignment="1">
      <alignment vertical="center"/>
    </xf>
    <xf numFmtId="0" fontId="37" fillId="8" borderId="29" xfId="0" applyFont="1" applyFill="1" applyBorder="1" applyAlignment="1">
      <alignment horizontal="center" vertical="center"/>
    </xf>
    <xf numFmtId="0" fontId="38" fillId="9" borderId="30" xfId="0" applyFont="1" applyFill="1" applyBorder="1" applyAlignment="1">
      <alignment horizontal="center" vertical="center"/>
    </xf>
    <xf numFmtId="0" fontId="38" fillId="9" borderId="31" xfId="0" applyFont="1" applyFill="1" applyBorder="1" applyAlignment="1">
      <alignment horizontal="center" vertical="center"/>
    </xf>
    <xf numFmtId="0" fontId="39" fillId="9" borderId="31" xfId="0" applyFont="1" applyFill="1" applyBorder="1" applyAlignment="1">
      <alignment horizontal="center" vertical="center"/>
    </xf>
    <xf numFmtId="0" fontId="38" fillId="0" borderId="30" xfId="0" applyFont="1" applyBorder="1" applyAlignment="1">
      <alignment horizontal="center" vertical="center"/>
    </xf>
    <xf numFmtId="0" fontId="38" fillId="0" borderId="31" xfId="0" applyFont="1" applyBorder="1" applyAlignment="1">
      <alignment horizontal="center" vertical="center"/>
    </xf>
    <xf numFmtId="0" fontId="39" fillId="0" borderId="31" xfId="0" applyFont="1" applyBorder="1" applyAlignment="1">
      <alignment horizontal="center" vertical="center"/>
    </xf>
    <xf numFmtId="0" fontId="38" fillId="0" borderId="31" xfId="0" applyFont="1" applyBorder="1" applyAlignment="1">
      <alignment vertical="center"/>
    </xf>
    <xf numFmtId="0" fontId="39" fillId="0" borderId="31" xfId="0" applyFont="1" applyBorder="1" applyAlignment="1">
      <alignment vertical="center"/>
    </xf>
    <xf numFmtId="0" fontId="37" fillId="8" borderId="30" xfId="0" applyFont="1" applyFill="1" applyBorder="1" applyAlignment="1">
      <alignment vertical="center"/>
    </xf>
    <xf numFmtId="0" fontId="37" fillId="8" borderId="31" xfId="0" applyFont="1" applyFill="1" applyBorder="1" applyAlignment="1">
      <alignment horizontal="center" vertical="center"/>
    </xf>
    <xf numFmtId="0" fontId="44" fillId="10" borderId="30" xfId="0" applyFont="1" applyFill="1" applyBorder="1" applyAlignment="1">
      <alignment vertical="center"/>
    </xf>
    <xf numFmtId="0" fontId="44" fillId="10" borderId="31" xfId="0" applyFont="1" applyFill="1" applyBorder="1" applyAlignment="1">
      <alignment vertical="center"/>
    </xf>
    <xf numFmtId="0" fontId="45" fillId="0" borderId="30" xfId="0" applyFont="1" applyBorder="1" applyAlignment="1">
      <alignment vertical="center"/>
    </xf>
    <xf numFmtId="0" fontId="45" fillId="0" borderId="31" xfId="0" applyFont="1" applyBorder="1" applyAlignment="1">
      <alignment vertical="center"/>
    </xf>
    <xf numFmtId="0" fontId="46" fillId="0" borderId="0" xfId="0" applyFont="1" applyAlignment="1">
      <alignment vertical="center"/>
    </xf>
    <xf numFmtId="0" fontId="44" fillId="10" borderId="28" xfId="0" applyFont="1" applyFill="1" applyBorder="1" applyAlignment="1">
      <alignment vertical="center"/>
    </xf>
    <xf numFmtId="0" fontId="44" fillId="10" borderId="29" xfId="0" applyFont="1" applyFill="1" applyBorder="1" applyAlignment="1">
      <alignment vertical="center"/>
    </xf>
    <xf numFmtId="0" fontId="4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3" fontId="11" fillId="2" borderId="2" xfId="0" applyNumberFormat="1" applyFont="1" applyFill="1" applyBorder="1" applyAlignment="1">
      <alignment horizontal="center" vertical="center"/>
    </xf>
    <xf numFmtId="0" fontId="49" fillId="0" borderId="31" xfId="0" applyFont="1" applyBorder="1" applyAlignment="1">
      <alignment vertical="center"/>
    </xf>
    <xf numFmtId="0" fontId="50" fillId="0" borderId="0" xfId="0" applyFont="1"/>
    <xf numFmtId="0" fontId="13" fillId="7" borderId="1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 wrapText="1"/>
    </xf>
    <xf numFmtId="0" fontId="19" fillId="5" borderId="5" xfId="0" applyFont="1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4" fillId="4" borderId="6" xfId="0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/>
    </xf>
    <xf numFmtId="0" fontId="15" fillId="4" borderId="11" xfId="0" applyFont="1" applyFill="1" applyBorder="1" applyAlignment="1">
      <alignment horizontal="center" vertical="center"/>
    </xf>
    <xf numFmtId="0" fontId="12" fillId="0" borderId="0" xfId="0" quotePrefix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21" fillId="6" borderId="13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wrapText="1"/>
    </xf>
    <xf numFmtId="1" fontId="17" fillId="0" borderId="5" xfId="0" applyNumberFormat="1" applyFont="1" applyBorder="1" applyAlignment="1">
      <alignment horizontal="center" vertical="center" wrapText="1"/>
    </xf>
    <xf numFmtId="1" fontId="17" fillId="0" borderId="3" xfId="0" applyNumberFormat="1" applyFont="1" applyBorder="1" applyAlignment="1">
      <alignment horizontal="center" vertical="center" wrapText="1"/>
    </xf>
    <xf numFmtId="14" fontId="17" fillId="0" borderId="5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 wrapText="1"/>
    </xf>
    <xf numFmtId="14" fontId="17" fillId="0" borderId="3" xfId="0" applyNumberFormat="1" applyFont="1" applyBorder="1" applyAlignment="1">
      <alignment horizontal="center" vertical="center" wrapText="1"/>
    </xf>
    <xf numFmtId="0" fontId="40" fillId="0" borderId="32" xfId="0" applyFont="1" applyBorder="1" applyAlignment="1">
      <alignment vertical="center"/>
    </xf>
    <xf numFmtId="0" fontId="40" fillId="0" borderId="33" xfId="0" applyFont="1" applyBorder="1" applyAlignment="1">
      <alignment vertical="center"/>
    </xf>
    <xf numFmtId="0" fontId="40" fillId="0" borderId="29" xfId="0" applyFont="1" applyBorder="1" applyAlignment="1">
      <alignment vertical="center"/>
    </xf>
    <xf numFmtId="0" fontId="41" fillId="0" borderId="32" xfId="0" applyFont="1" applyBorder="1" applyAlignment="1">
      <alignment vertical="center"/>
    </xf>
    <xf numFmtId="0" fontId="41" fillId="0" borderId="33" xfId="0" applyFont="1" applyBorder="1" applyAlignment="1">
      <alignment vertical="center"/>
    </xf>
    <xf numFmtId="0" fontId="41" fillId="0" borderId="29" xfId="0" applyFont="1" applyBorder="1" applyAlignment="1">
      <alignment vertical="center"/>
    </xf>
    <xf numFmtId="0" fontId="40" fillId="0" borderId="32" xfId="0" applyFont="1" applyBorder="1" applyAlignment="1">
      <alignment vertical="center" wrapText="1"/>
    </xf>
    <xf numFmtId="0" fontId="40" fillId="0" borderId="33" xfId="0" applyFont="1" applyBorder="1" applyAlignment="1">
      <alignment vertical="center" wrapText="1"/>
    </xf>
    <xf numFmtId="0" fontId="40" fillId="0" borderId="29" xfId="0" applyFont="1" applyBorder="1" applyAlignment="1">
      <alignment vertical="center" wrapText="1"/>
    </xf>
    <xf numFmtId="0" fontId="42" fillId="0" borderId="32" xfId="0" applyFont="1" applyBorder="1" applyAlignment="1">
      <alignment horizontal="center" vertical="center"/>
    </xf>
    <xf numFmtId="0" fontId="43" fillId="0" borderId="33" xfId="0" applyFont="1" applyBorder="1" applyAlignment="1">
      <alignment horizontal="center" vertical="center"/>
    </xf>
    <xf numFmtId="0" fontId="43" fillId="0" borderId="29" xfId="0" applyFont="1" applyBorder="1" applyAlignment="1">
      <alignment horizontal="center" vertical="center"/>
    </xf>
    <xf numFmtId="0" fontId="45" fillId="0" borderId="32" xfId="0" applyFont="1" applyBorder="1" applyAlignment="1">
      <alignment horizontal="center" vertical="center"/>
    </xf>
    <xf numFmtId="0" fontId="45" fillId="0" borderId="33" xfId="0" applyFont="1" applyBorder="1" applyAlignment="1">
      <alignment horizontal="center" vertical="center"/>
    </xf>
    <xf numFmtId="0" fontId="45" fillId="0" borderId="29" xfId="0" applyFont="1" applyBorder="1" applyAlignment="1">
      <alignment horizontal="center" vertical="center"/>
    </xf>
    <xf numFmtId="0" fontId="47" fillId="0" borderId="14" xfId="0" applyFont="1" applyBorder="1" applyAlignment="1">
      <alignment horizontal="center"/>
    </xf>
    <xf numFmtId="0" fontId="47" fillId="0" borderId="15" xfId="0" applyFont="1" applyBorder="1" applyAlignment="1">
      <alignment horizontal="center"/>
    </xf>
    <xf numFmtId="0" fontId="47" fillId="0" borderId="16" xfId="0" applyFont="1" applyBorder="1" applyAlignment="1">
      <alignment horizontal="center"/>
    </xf>
    <xf numFmtId="0" fontId="47" fillId="0" borderId="34" xfId="0" applyFont="1" applyBorder="1" applyAlignment="1">
      <alignment horizontal="center"/>
    </xf>
    <xf numFmtId="0" fontId="47" fillId="0" borderId="35" xfId="0" applyFont="1" applyBorder="1" applyAlignment="1">
      <alignment horizontal="center"/>
    </xf>
    <xf numFmtId="0" fontId="47" fillId="0" borderId="31" xfId="0" applyFont="1" applyBorder="1" applyAlignment="1">
      <alignment horizontal="center"/>
    </xf>
  </cellXfs>
  <cellStyles count="7">
    <cellStyle name="Hyperlink" xfId="4" builtinId="8"/>
    <cellStyle name="Normal" xfId="0" builtinId="0"/>
    <cellStyle name="Normal 2" xfId="5" xr:uid="{00000000-0005-0000-0000-000000000000}"/>
    <cellStyle name="Normal 3" xfId="6" xr:uid="{00000000-0005-0000-0000-000001000000}"/>
    <cellStyle name="Обычный 2" xfId="2" xr:uid="{00000000-0005-0000-0000-000004000000}"/>
    <cellStyle name="Обычный 3" xfId="1" xr:uid="{00000000-0005-0000-0000-000005000000}"/>
    <cellStyle name="Обычный 4" xfId="3" xr:uid="{00000000-0005-0000-0000-000006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Salesnvr@fesco.com" TargetMode="External"/><Relationship Id="rId3" Type="http://schemas.openxmlformats.org/officeDocument/2006/relationships/hyperlink" Target="mailto:ASkantarova@fesco.com" TargetMode="External"/><Relationship Id="rId7" Type="http://schemas.openxmlformats.org/officeDocument/2006/relationships/hyperlink" Target="mailto:ccevik@barkonship.com" TargetMode="External"/><Relationship Id="rId12" Type="http://schemas.openxmlformats.org/officeDocument/2006/relationships/printerSettings" Target="../printerSettings/printerSettings3.bin"/><Relationship Id="rId2" Type="http://schemas.openxmlformats.org/officeDocument/2006/relationships/hyperlink" Target="mailto:caksu@barkonship.com" TargetMode="External"/><Relationship Id="rId1" Type="http://schemas.openxmlformats.org/officeDocument/2006/relationships/hyperlink" Target="mailto:OANikityuk@fesco.com" TargetMode="External"/><Relationship Id="rId6" Type="http://schemas.openxmlformats.org/officeDocument/2006/relationships/hyperlink" Target="mailto:bboztuna@barkonship.com" TargetMode="External"/><Relationship Id="rId11" Type="http://schemas.openxmlformats.org/officeDocument/2006/relationships/hyperlink" Target="mailto:AKalchevskaya@fesco.com" TargetMode="External"/><Relationship Id="rId5" Type="http://schemas.openxmlformats.org/officeDocument/2006/relationships/hyperlink" Target="mailto:fozturk@barkonship.com" TargetMode="External"/><Relationship Id="rId10" Type="http://schemas.openxmlformats.org/officeDocument/2006/relationships/hyperlink" Target="mailto:AKryuchkova@fesco.com" TargetMode="External"/><Relationship Id="rId4" Type="http://schemas.openxmlformats.org/officeDocument/2006/relationships/hyperlink" Target="mailto:IShakhlamov@fesco.com" TargetMode="External"/><Relationship Id="rId9" Type="http://schemas.openxmlformats.org/officeDocument/2006/relationships/hyperlink" Target="mailto:AMarkin@fes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2"/>
  <sheetViews>
    <sheetView tabSelected="1" zoomScaleNormal="100" workbookViewId="0">
      <selection activeCell="I24" sqref="I24"/>
    </sheetView>
  </sheetViews>
  <sheetFormatPr defaultRowHeight="20.25" x14ac:dyDescent="0.25"/>
  <cols>
    <col min="1" max="1" width="29.28515625" style="1" customWidth="1"/>
    <col min="2" max="2" width="11.85546875" style="3" customWidth="1"/>
    <col min="3" max="3" width="9.140625" style="3" customWidth="1"/>
    <col min="4" max="4" width="10.7109375" style="3" customWidth="1"/>
    <col min="5" max="5" width="11.7109375" style="2" customWidth="1"/>
    <col min="6" max="6" width="11" style="2" customWidth="1"/>
    <col min="7" max="7" width="11.5703125" style="2" customWidth="1"/>
    <col min="8" max="8" width="22.140625" style="3" customWidth="1"/>
    <col min="9" max="9" width="23.85546875" style="3" customWidth="1"/>
    <col min="10" max="10" width="25.140625" style="3" customWidth="1"/>
    <col min="11" max="11" width="40.42578125" style="3" customWidth="1"/>
    <col min="12" max="12" width="13.85546875" style="2" customWidth="1"/>
    <col min="13" max="13" width="10.85546875" style="2" customWidth="1"/>
    <col min="14" max="14" width="11.28515625" style="2" customWidth="1"/>
    <col min="15" max="15" width="15.28515625" style="2" customWidth="1"/>
    <col min="16" max="16" width="14.140625" style="2" customWidth="1"/>
    <col min="17" max="250" width="9.140625" style="2"/>
    <col min="251" max="251" width="18.5703125" style="2" customWidth="1"/>
    <col min="252" max="252" width="1" style="2" customWidth="1"/>
    <col min="253" max="255" width="7.7109375" style="2" customWidth="1"/>
    <col min="256" max="256" width="1" style="2" customWidth="1"/>
    <col min="257" max="259" width="7.7109375" style="2" customWidth="1"/>
    <col min="260" max="260" width="1.140625" style="2" customWidth="1"/>
    <col min="261" max="266" width="5.7109375" style="2" customWidth="1"/>
    <col min="267" max="269" width="0" style="2" hidden="1" customWidth="1"/>
    <col min="270" max="272" width="9.28515625" style="2" customWidth="1"/>
    <col min="273" max="506" width="9.140625" style="2"/>
    <col min="507" max="507" width="18.5703125" style="2" customWidth="1"/>
    <col min="508" max="508" width="1" style="2" customWidth="1"/>
    <col min="509" max="511" width="7.7109375" style="2" customWidth="1"/>
    <col min="512" max="512" width="1" style="2" customWidth="1"/>
    <col min="513" max="515" width="7.7109375" style="2" customWidth="1"/>
    <col min="516" max="516" width="1.140625" style="2" customWidth="1"/>
    <col min="517" max="522" width="5.7109375" style="2" customWidth="1"/>
    <col min="523" max="525" width="0" style="2" hidden="1" customWidth="1"/>
    <col min="526" max="528" width="9.28515625" style="2" customWidth="1"/>
    <col min="529" max="762" width="9.140625" style="2"/>
    <col min="763" max="763" width="18.5703125" style="2" customWidth="1"/>
    <col min="764" max="764" width="1" style="2" customWidth="1"/>
    <col min="765" max="767" width="7.7109375" style="2" customWidth="1"/>
    <col min="768" max="768" width="1" style="2" customWidth="1"/>
    <col min="769" max="771" width="7.7109375" style="2" customWidth="1"/>
    <col min="772" max="772" width="1.140625" style="2" customWidth="1"/>
    <col min="773" max="778" width="5.7109375" style="2" customWidth="1"/>
    <col min="779" max="781" width="0" style="2" hidden="1" customWidth="1"/>
    <col min="782" max="784" width="9.28515625" style="2" customWidth="1"/>
    <col min="785" max="1018" width="9.140625" style="2"/>
    <col min="1019" max="1019" width="18.5703125" style="2" customWidth="1"/>
    <col min="1020" max="1020" width="1" style="2" customWidth="1"/>
    <col min="1021" max="1023" width="7.7109375" style="2" customWidth="1"/>
    <col min="1024" max="1024" width="1" style="2" customWidth="1"/>
    <col min="1025" max="1027" width="7.7109375" style="2" customWidth="1"/>
    <col min="1028" max="1028" width="1.140625" style="2" customWidth="1"/>
    <col min="1029" max="1034" width="5.7109375" style="2" customWidth="1"/>
    <col min="1035" max="1037" width="0" style="2" hidden="1" customWidth="1"/>
    <col min="1038" max="1040" width="9.28515625" style="2" customWidth="1"/>
    <col min="1041" max="1274" width="9.140625" style="2"/>
    <col min="1275" max="1275" width="18.5703125" style="2" customWidth="1"/>
    <col min="1276" max="1276" width="1" style="2" customWidth="1"/>
    <col min="1277" max="1279" width="7.7109375" style="2" customWidth="1"/>
    <col min="1280" max="1280" width="1" style="2" customWidth="1"/>
    <col min="1281" max="1283" width="7.7109375" style="2" customWidth="1"/>
    <col min="1284" max="1284" width="1.140625" style="2" customWidth="1"/>
    <col min="1285" max="1290" width="5.7109375" style="2" customWidth="1"/>
    <col min="1291" max="1293" width="0" style="2" hidden="1" customWidth="1"/>
    <col min="1294" max="1296" width="9.28515625" style="2" customWidth="1"/>
    <col min="1297" max="1530" width="9.140625" style="2"/>
    <col min="1531" max="1531" width="18.5703125" style="2" customWidth="1"/>
    <col min="1532" max="1532" width="1" style="2" customWidth="1"/>
    <col min="1533" max="1535" width="7.7109375" style="2" customWidth="1"/>
    <col min="1536" max="1536" width="1" style="2" customWidth="1"/>
    <col min="1537" max="1539" width="7.7109375" style="2" customWidth="1"/>
    <col min="1540" max="1540" width="1.140625" style="2" customWidth="1"/>
    <col min="1541" max="1546" width="5.7109375" style="2" customWidth="1"/>
    <col min="1547" max="1549" width="0" style="2" hidden="1" customWidth="1"/>
    <col min="1550" max="1552" width="9.28515625" style="2" customWidth="1"/>
    <col min="1553" max="1786" width="9.140625" style="2"/>
    <col min="1787" max="1787" width="18.5703125" style="2" customWidth="1"/>
    <col min="1788" max="1788" width="1" style="2" customWidth="1"/>
    <col min="1789" max="1791" width="7.7109375" style="2" customWidth="1"/>
    <col min="1792" max="1792" width="1" style="2" customWidth="1"/>
    <col min="1793" max="1795" width="7.7109375" style="2" customWidth="1"/>
    <col min="1796" max="1796" width="1.140625" style="2" customWidth="1"/>
    <col min="1797" max="1802" width="5.7109375" style="2" customWidth="1"/>
    <col min="1803" max="1805" width="0" style="2" hidden="1" customWidth="1"/>
    <col min="1806" max="1808" width="9.28515625" style="2" customWidth="1"/>
    <col min="1809" max="2042" width="9.140625" style="2"/>
    <col min="2043" max="2043" width="18.5703125" style="2" customWidth="1"/>
    <col min="2044" max="2044" width="1" style="2" customWidth="1"/>
    <col min="2045" max="2047" width="7.7109375" style="2" customWidth="1"/>
    <col min="2048" max="2048" width="1" style="2" customWidth="1"/>
    <col min="2049" max="2051" width="7.7109375" style="2" customWidth="1"/>
    <col min="2052" max="2052" width="1.140625" style="2" customWidth="1"/>
    <col min="2053" max="2058" width="5.7109375" style="2" customWidth="1"/>
    <col min="2059" max="2061" width="0" style="2" hidden="1" customWidth="1"/>
    <col min="2062" max="2064" width="9.28515625" style="2" customWidth="1"/>
    <col min="2065" max="2298" width="9.140625" style="2"/>
    <col min="2299" max="2299" width="18.5703125" style="2" customWidth="1"/>
    <col min="2300" max="2300" width="1" style="2" customWidth="1"/>
    <col min="2301" max="2303" width="7.7109375" style="2" customWidth="1"/>
    <col min="2304" max="2304" width="1" style="2" customWidth="1"/>
    <col min="2305" max="2307" width="7.7109375" style="2" customWidth="1"/>
    <col min="2308" max="2308" width="1.140625" style="2" customWidth="1"/>
    <col min="2309" max="2314" width="5.7109375" style="2" customWidth="1"/>
    <col min="2315" max="2317" width="0" style="2" hidden="1" customWidth="1"/>
    <col min="2318" max="2320" width="9.28515625" style="2" customWidth="1"/>
    <col min="2321" max="2554" width="9.140625" style="2"/>
    <col min="2555" max="2555" width="18.5703125" style="2" customWidth="1"/>
    <col min="2556" max="2556" width="1" style="2" customWidth="1"/>
    <col min="2557" max="2559" width="7.7109375" style="2" customWidth="1"/>
    <col min="2560" max="2560" width="1" style="2" customWidth="1"/>
    <col min="2561" max="2563" width="7.7109375" style="2" customWidth="1"/>
    <col min="2564" max="2564" width="1.140625" style="2" customWidth="1"/>
    <col min="2565" max="2570" width="5.7109375" style="2" customWidth="1"/>
    <col min="2571" max="2573" width="0" style="2" hidden="1" customWidth="1"/>
    <col min="2574" max="2576" width="9.28515625" style="2" customWidth="1"/>
    <col min="2577" max="2810" width="9.140625" style="2"/>
    <col min="2811" max="2811" width="18.5703125" style="2" customWidth="1"/>
    <col min="2812" max="2812" width="1" style="2" customWidth="1"/>
    <col min="2813" max="2815" width="7.7109375" style="2" customWidth="1"/>
    <col min="2816" max="2816" width="1" style="2" customWidth="1"/>
    <col min="2817" max="2819" width="7.7109375" style="2" customWidth="1"/>
    <col min="2820" max="2820" width="1.140625" style="2" customWidth="1"/>
    <col min="2821" max="2826" width="5.7109375" style="2" customWidth="1"/>
    <col min="2827" max="2829" width="0" style="2" hidden="1" customWidth="1"/>
    <col min="2830" max="2832" width="9.28515625" style="2" customWidth="1"/>
    <col min="2833" max="3066" width="9.140625" style="2"/>
    <col min="3067" max="3067" width="18.5703125" style="2" customWidth="1"/>
    <col min="3068" max="3068" width="1" style="2" customWidth="1"/>
    <col min="3069" max="3071" width="7.7109375" style="2" customWidth="1"/>
    <col min="3072" max="3072" width="1" style="2" customWidth="1"/>
    <col min="3073" max="3075" width="7.7109375" style="2" customWidth="1"/>
    <col min="3076" max="3076" width="1.140625" style="2" customWidth="1"/>
    <col min="3077" max="3082" width="5.7109375" style="2" customWidth="1"/>
    <col min="3083" max="3085" width="0" style="2" hidden="1" customWidth="1"/>
    <col min="3086" max="3088" width="9.28515625" style="2" customWidth="1"/>
    <col min="3089" max="3322" width="9.140625" style="2"/>
    <col min="3323" max="3323" width="18.5703125" style="2" customWidth="1"/>
    <col min="3324" max="3324" width="1" style="2" customWidth="1"/>
    <col min="3325" max="3327" width="7.7109375" style="2" customWidth="1"/>
    <col min="3328" max="3328" width="1" style="2" customWidth="1"/>
    <col min="3329" max="3331" width="7.7109375" style="2" customWidth="1"/>
    <col min="3332" max="3332" width="1.140625" style="2" customWidth="1"/>
    <col min="3333" max="3338" width="5.7109375" style="2" customWidth="1"/>
    <col min="3339" max="3341" width="0" style="2" hidden="1" customWidth="1"/>
    <col min="3342" max="3344" width="9.28515625" style="2" customWidth="1"/>
    <col min="3345" max="3578" width="9.140625" style="2"/>
    <col min="3579" max="3579" width="18.5703125" style="2" customWidth="1"/>
    <col min="3580" max="3580" width="1" style="2" customWidth="1"/>
    <col min="3581" max="3583" width="7.7109375" style="2" customWidth="1"/>
    <col min="3584" max="3584" width="1" style="2" customWidth="1"/>
    <col min="3585" max="3587" width="7.7109375" style="2" customWidth="1"/>
    <col min="3588" max="3588" width="1.140625" style="2" customWidth="1"/>
    <col min="3589" max="3594" width="5.7109375" style="2" customWidth="1"/>
    <col min="3595" max="3597" width="0" style="2" hidden="1" customWidth="1"/>
    <col min="3598" max="3600" width="9.28515625" style="2" customWidth="1"/>
    <col min="3601" max="3834" width="9.140625" style="2"/>
    <col min="3835" max="3835" width="18.5703125" style="2" customWidth="1"/>
    <col min="3836" max="3836" width="1" style="2" customWidth="1"/>
    <col min="3837" max="3839" width="7.7109375" style="2" customWidth="1"/>
    <col min="3840" max="3840" width="1" style="2" customWidth="1"/>
    <col min="3841" max="3843" width="7.7109375" style="2" customWidth="1"/>
    <col min="3844" max="3844" width="1.140625" style="2" customWidth="1"/>
    <col min="3845" max="3850" width="5.7109375" style="2" customWidth="1"/>
    <col min="3851" max="3853" width="0" style="2" hidden="1" customWidth="1"/>
    <col min="3854" max="3856" width="9.28515625" style="2" customWidth="1"/>
    <col min="3857" max="4090" width="9.140625" style="2"/>
    <col min="4091" max="4091" width="18.5703125" style="2" customWidth="1"/>
    <col min="4092" max="4092" width="1" style="2" customWidth="1"/>
    <col min="4093" max="4095" width="7.7109375" style="2" customWidth="1"/>
    <col min="4096" max="4096" width="1" style="2" customWidth="1"/>
    <col min="4097" max="4099" width="7.7109375" style="2" customWidth="1"/>
    <col min="4100" max="4100" width="1.140625" style="2" customWidth="1"/>
    <col min="4101" max="4106" width="5.7109375" style="2" customWidth="1"/>
    <col min="4107" max="4109" width="0" style="2" hidden="1" customWidth="1"/>
    <col min="4110" max="4112" width="9.28515625" style="2" customWidth="1"/>
    <col min="4113" max="4346" width="9.140625" style="2"/>
    <col min="4347" max="4347" width="18.5703125" style="2" customWidth="1"/>
    <col min="4348" max="4348" width="1" style="2" customWidth="1"/>
    <col min="4349" max="4351" width="7.7109375" style="2" customWidth="1"/>
    <col min="4352" max="4352" width="1" style="2" customWidth="1"/>
    <col min="4353" max="4355" width="7.7109375" style="2" customWidth="1"/>
    <col min="4356" max="4356" width="1.140625" style="2" customWidth="1"/>
    <col min="4357" max="4362" width="5.7109375" style="2" customWidth="1"/>
    <col min="4363" max="4365" width="0" style="2" hidden="1" customWidth="1"/>
    <col min="4366" max="4368" width="9.28515625" style="2" customWidth="1"/>
    <col min="4369" max="4602" width="9.140625" style="2"/>
    <col min="4603" max="4603" width="18.5703125" style="2" customWidth="1"/>
    <col min="4604" max="4604" width="1" style="2" customWidth="1"/>
    <col min="4605" max="4607" width="7.7109375" style="2" customWidth="1"/>
    <col min="4608" max="4608" width="1" style="2" customWidth="1"/>
    <col min="4609" max="4611" width="7.7109375" style="2" customWidth="1"/>
    <col min="4612" max="4612" width="1.140625" style="2" customWidth="1"/>
    <col min="4613" max="4618" width="5.7109375" style="2" customWidth="1"/>
    <col min="4619" max="4621" width="0" style="2" hidden="1" customWidth="1"/>
    <col min="4622" max="4624" width="9.28515625" style="2" customWidth="1"/>
    <col min="4625" max="4858" width="9.140625" style="2"/>
    <col min="4859" max="4859" width="18.5703125" style="2" customWidth="1"/>
    <col min="4860" max="4860" width="1" style="2" customWidth="1"/>
    <col min="4861" max="4863" width="7.7109375" style="2" customWidth="1"/>
    <col min="4864" max="4864" width="1" style="2" customWidth="1"/>
    <col min="4865" max="4867" width="7.7109375" style="2" customWidth="1"/>
    <col min="4868" max="4868" width="1.140625" style="2" customWidth="1"/>
    <col min="4869" max="4874" width="5.7109375" style="2" customWidth="1"/>
    <col min="4875" max="4877" width="0" style="2" hidden="1" customWidth="1"/>
    <col min="4878" max="4880" width="9.28515625" style="2" customWidth="1"/>
    <col min="4881" max="5114" width="9.140625" style="2"/>
    <col min="5115" max="5115" width="18.5703125" style="2" customWidth="1"/>
    <col min="5116" max="5116" width="1" style="2" customWidth="1"/>
    <col min="5117" max="5119" width="7.7109375" style="2" customWidth="1"/>
    <col min="5120" max="5120" width="1" style="2" customWidth="1"/>
    <col min="5121" max="5123" width="7.7109375" style="2" customWidth="1"/>
    <col min="5124" max="5124" width="1.140625" style="2" customWidth="1"/>
    <col min="5125" max="5130" width="5.7109375" style="2" customWidth="1"/>
    <col min="5131" max="5133" width="0" style="2" hidden="1" customWidth="1"/>
    <col min="5134" max="5136" width="9.28515625" style="2" customWidth="1"/>
    <col min="5137" max="5370" width="9.140625" style="2"/>
    <col min="5371" max="5371" width="18.5703125" style="2" customWidth="1"/>
    <col min="5372" max="5372" width="1" style="2" customWidth="1"/>
    <col min="5373" max="5375" width="7.7109375" style="2" customWidth="1"/>
    <col min="5376" max="5376" width="1" style="2" customWidth="1"/>
    <col min="5377" max="5379" width="7.7109375" style="2" customWidth="1"/>
    <col min="5380" max="5380" width="1.140625" style="2" customWidth="1"/>
    <col min="5381" max="5386" width="5.7109375" style="2" customWidth="1"/>
    <col min="5387" max="5389" width="0" style="2" hidden="1" customWidth="1"/>
    <col min="5390" max="5392" width="9.28515625" style="2" customWidth="1"/>
    <col min="5393" max="5626" width="9.140625" style="2"/>
    <col min="5627" max="5627" width="18.5703125" style="2" customWidth="1"/>
    <col min="5628" max="5628" width="1" style="2" customWidth="1"/>
    <col min="5629" max="5631" width="7.7109375" style="2" customWidth="1"/>
    <col min="5632" max="5632" width="1" style="2" customWidth="1"/>
    <col min="5633" max="5635" width="7.7109375" style="2" customWidth="1"/>
    <col min="5636" max="5636" width="1.140625" style="2" customWidth="1"/>
    <col min="5637" max="5642" width="5.7109375" style="2" customWidth="1"/>
    <col min="5643" max="5645" width="0" style="2" hidden="1" customWidth="1"/>
    <col min="5646" max="5648" width="9.28515625" style="2" customWidth="1"/>
    <col min="5649" max="5882" width="9.140625" style="2"/>
    <col min="5883" max="5883" width="18.5703125" style="2" customWidth="1"/>
    <col min="5884" max="5884" width="1" style="2" customWidth="1"/>
    <col min="5885" max="5887" width="7.7109375" style="2" customWidth="1"/>
    <col min="5888" max="5888" width="1" style="2" customWidth="1"/>
    <col min="5889" max="5891" width="7.7109375" style="2" customWidth="1"/>
    <col min="5892" max="5892" width="1.140625" style="2" customWidth="1"/>
    <col min="5893" max="5898" width="5.7109375" style="2" customWidth="1"/>
    <col min="5899" max="5901" width="0" style="2" hidden="1" customWidth="1"/>
    <col min="5902" max="5904" width="9.28515625" style="2" customWidth="1"/>
    <col min="5905" max="6138" width="9.140625" style="2"/>
    <col min="6139" max="6139" width="18.5703125" style="2" customWidth="1"/>
    <col min="6140" max="6140" width="1" style="2" customWidth="1"/>
    <col min="6141" max="6143" width="7.7109375" style="2" customWidth="1"/>
    <col min="6144" max="6144" width="1" style="2" customWidth="1"/>
    <col min="6145" max="6147" width="7.7109375" style="2" customWidth="1"/>
    <col min="6148" max="6148" width="1.140625" style="2" customWidth="1"/>
    <col min="6149" max="6154" width="5.7109375" style="2" customWidth="1"/>
    <col min="6155" max="6157" width="0" style="2" hidden="1" customWidth="1"/>
    <col min="6158" max="6160" width="9.28515625" style="2" customWidth="1"/>
    <col min="6161" max="6394" width="9.140625" style="2"/>
    <col min="6395" max="6395" width="18.5703125" style="2" customWidth="1"/>
    <col min="6396" max="6396" width="1" style="2" customWidth="1"/>
    <col min="6397" max="6399" width="7.7109375" style="2" customWidth="1"/>
    <col min="6400" max="6400" width="1" style="2" customWidth="1"/>
    <col min="6401" max="6403" width="7.7109375" style="2" customWidth="1"/>
    <col min="6404" max="6404" width="1.140625" style="2" customWidth="1"/>
    <col min="6405" max="6410" width="5.7109375" style="2" customWidth="1"/>
    <col min="6411" max="6413" width="0" style="2" hidden="1" customWidth="1"/>
    <col min="6414" max="6416" width="9.28515625" style="2" customWidth="1"/>
    <col min="6417" max="6650" width="9.140625" style="2"/>
    <col min="6651" max="6651" width="18.5703125" style="2" customWidth="1"/>
    <col min="6652" max="6652" width="1" style="2" customWidth="1"/>
    <col min="6653" max="6655" width="7.7109375" style="2" customWidth="1"/>
    <col min="6656" max="6656" width="1" style="2" customWidth="1"/>
    <col min="6657" max="6659" width="7.7109375" style="2" customWidth="1"/>
    <col min="6660" max="6660" width="1.140625" style="2" customWidth="1"/>
    <col min="6661" max="6666" width="5.7109375" style="2" customWidth="1"/>
    <col min="6667" max="6669" width="0" style="2" hidden="1" customWidth="1"/>
    <col min="6670" max="6672" width="9.28515625" style="2" customWidth="1"/>
    <col min="6673" max="6906" width="9.140625" style="2"/>
    <col min="6907" max="6907" width="18.5703125" style="2" customWidth="1"/>
    <col min="6908" max="6908" width="1" style="2" customWidth="1"/>
    <col min="6909" max="6911" width="7.7109375" style="2" customWidth="1"/>
    <col min="6912" max="6912" width="1" style="2" customWidth="1"/>
    <col min="6913" max="6915" width="7.7109375" style="2" customWidth="1"/>
    <col min="6916" max="6916" width="1.140625" style="2" customWidth="1"/>
    <col min="6917" max="6922" width="5.7109375" style="2" customWidth="1"/>
    <col min="6923" max="6925" width="0" style="2" hidden="1" customWidth="1"/>
    <col min="6926" max="6928" width="9.28515625" style="2" customWidth="1"/>
    <col min="6929" max="7162" width="9.140625" style="2"/>
    <col min="7163" max="7163" width="18.5703125" style="2" customWidth="1"/>
    <col min="7164" max="7164" width="1" style="2" customWidth="1"/>
    <col min="7165" max="7167" width="7.7109375" style="2" customWidth="1"/>
    <col min="7168" max="7168" width="1" style="2" customWidth="1"/>
    <col min="7169" max="7171" width="7.7109375" style="2" customWidth="1"/>
    <col min="7172" max="7172" width="1.140625" style="2" customWidth="1"/>
    <col min="7173" max="7178" width="5.7109375" style="2" customWidth="1"/>
    <col min="7179" max="7181" width="0" style="2" hidden="1" customWidth="1"/>
    <col min="7182" max="7184" width="9.28515625" style="2" customWidth="1"/>
    <col min="7185" max="7418" width="9.140625" style="2"/>
    <col min="7419" max="7419" width="18.5703125" style="2" customWidth="1"/>
    <col min="7420" max="7420" width="1" style="2" customWidth="1"/>
    <col min="7421" max="7423" width="7.7109375" style="2" customWidth="1"/>
    <col min="7424" max="7424" width="1" style="2" customWidth="1"/>
    <col min="7425" max="7427" width="7.7109375" style="2" customWidth="1"/>
    <col min="7428" max="7428" width="1.140625" style="2" customWidth="1"/>
    <col min="7429" max="7434" width="5.7109375" style="2" customWidth="1"/>
    <col min="7435" max="7437" width="0" style="2" hidden="1" customWidth="1"/>
    <col min="7438" max="7440" width="9.28515625" style="2" customWidth="1"/>
    <col min="7441" max="7674" width="9.140625" style="2"/>
    <col min="7675" max="7675" width="18.5703125" style="2" customWidth="1"/>
    <col min="7676" max="7676" width="1" style="2" customWidth="1"/>
    <col min="7677" max="7679" width="7.7109375" style="2" customWidth="1"/>
    <col min="7680" max="7680" width="1" style="2" customWidth="1"/>
    <col min="7681" max="7683" width="7.7109375" style="2" customWidth="1"/>
    <col min="7684" max="7684" width="1.140625" style="2" customWidth="1"/>
    <col min="7685" max="7690" width="5.7109375" style="2" customWidth="1"/>
    <col min="7691" max="7693" width="0" style="2" hidden="1" customWidth="1"/>
    <col min="7694" max="7696" width="9.28515625" style="2" customWidth="1"/>
    <col min="7697" max="7930" width="9.140625" style="2"/>
    <col min="7931" max="7931" width="18.5703125" style="2" customWidth="1"/>
    <col min="7932" max="7932" width="1" style="2" customWidth="1"/>
    <col min="7933" max="7935" width="7.7109375" style="2" customWidth="1"/>
    <col min="7936" max="7936" width="1" style="2" customWidth="1"/>
    <col min="7937" max="7939" width="7.7109375" style="2" customWidth="1"/>
    <col min="7940" max="7940" width="1.140625" style="2" customWidth="1"/>
    <col min="7941" max="7946" width="5.7109375" style="2" customWidth="1"/>
    <col min="7947" max="7949" width="0" style="2" hidden="1" customWidth="1"/>
    <col min="7950" max="7952" width="9.28515625" style="2" customWidth="1"/>
    <col min="7953" max="8186" width="9.140625" style="2"/>
    <col min="8187" max="8187" width="18.5703125" style="2" customWidth="1"/>
    <col min="8188" max="8188" width="1" style="2" customWidth="1"/>
    <col min="8189" max="8191" width="7.7109375" style="2" customWidth="1"/>
    <col min="8192" max="8192" width="1" style="2" customWidth="1"/>
    <col min="8193" max="8195" width="7.7109375" style="2" customWidth="1"/>
    <col min="8196" max="8196" width="1.140625" style="2" customWidth="1"/>
    <col min="8197" max="8202" width="5.7109375" style="2" customWidth="1"/>
    <col min="8203" max="8205" width="0" style="2" hidden="1" customWidth="1"/>
    <col min="8206" max="8208" width="9.28515625" style="2" customWidth="1"/>
    <col min="8209" max="8442" width="9.140625" style="2"/>
    <col min="8443" max="8443" width="18.5703125" style="2" customWidth="1"/>
    <col min="8444" max="8444" width="1" style="2" customWidth="1"/>
    <col min="8445" max="8447" width="7.7109375" style="2" customWidth="1"/>
    <col min="8448" max="8448" width="1" style="2" customWidth="1"/>
    <col min="8449" max="8451" width="7.7109375" style="2" customWidth="1"/>
    <col min="8452" max="8452" width="1.140625" style="2" customWidth="1"/>
    <col min="8453" max="8458" width="5.7109375" style="2" customWidth="1"/>
    <col min="8459" max="8461" width="0" style="2" hidden="1" customWidth="1"/>
    <col min="8462" max="8464" width="9.28515625" style="2" customWidth="1"/>
    <col min="8465" max="8698" width="9.140625" style="2"/>
    <col min="8699" max="8699" width="18.5703125" style="2" customWidth="1"/>
    <col min="8700" max="8700" width="1" style="2" customWidth="1"/>
    <col min="8701" max="8703" width="7.7109375" style="2" customWidth="1"/>
    <col min="8704" max="8704" width="1" style="2" customWidth="1"/>
    <col min="8705" max="8707" width="7.7109375" style="2" customWidth="1"/>
    <col min="8708" max="8708" width="1.140625" style="2" customWidth="1"/>
    <col min="8709" max="8714" width="5.7109375" style="2" customWidth="1"/>
    <col min="8715" max="8717" width="0" style="2" hidden="1" customWidth="1"/>
    <col min="8718" max="8720" width="9.28515625" style="2" customWidth="1"/>
    <col min="8721" max="8954" width="9.140625" style="2"/>
    <col min="8955" max="8955" width="18.5703125" style="2" customWidth="1"/>
    <col min="8956" max="8956" width="1" style="2" customWidth="1"/>
    <col min="8957" max="8959" width="7.7109375" style="2" customWidth="1"/>
    <col min="8960" max="8960" width="1" style="2" customWidth="1"/>
    <col min="8961" max="8963" width="7.7109375" style="2" customWidth="1"/>
    <col min="8964" max="8964" width="1.140625" style="2" customWidth="1"/>
    <col min="8965" max="8970" width="5.7109375" style="2" customWidth="1"/>
    <col min="8971" max="8973" width="0" style="2" hidden="1" customWidth="1"/>
    <col min="8974" max="8976" width="9.28515625" style="2" customWidth="1"/>
    <col min="8977" max="9210" width="9.140625" style="2"/>
    <col min="9211" max="9211" width="18.5703125" style="2" customWidth="1"/>
    <col min="9212" max="9212" width="1" style="2" customWidth="1"/>
    <col min="9213" max="9215" width="7.7109375" style="2" customWidth="1"/>
    <col min="9216" max="9216" width="1" style="2" customWidth="1"/>
    <col min="9217" max="9219" width="7.7109375" style="2" customWidth="1"/>
    <col min="9220" max="9220" width="1.140625" style="2" customWidth="1"/>
    <col min="9221" max="9226" width="5.7109375" style="2" customWidth="1"/>
    <col min="9227" max="9229" width="0" style="2" hidden="1" customWidth="1"/>
    <col min="9230" max="9232" width="9.28515625" style="2" customWidth="1"/>
    <col min="9233" max="9466" width="9.140625" style="2"/>
    <col min="9467" max="9467" width="18.5703125" style="2" customWidth="1"/>
    <col min="9468" max="9468" width="1" style="2" customWidth="1"/>
    <col min="9469" max="9471" width="7.7109375" style="2" customWidth="1"/>
    <col min="9472" max="9472" width="1" style="2" customWidth="1"/>
    <col min="9473" max="9475" width="7.7109375" style="2" customWidth="1"/>
    <col min="9476" max="9476" width="1.140625" style="2" customWidth="1"/>
    <col min="9477" max="9482" width="5.7109375" style="2" customWidth="1"/>
    <col min="9483" max="9485" width="0" style="2" hidden="1" customWidth="1"/>
    <col min="9486" max="9488" width="9.28515625" style="2" customWidth="1"/>
    <col min="9489" max="9722" width="9.140625" style="2"/>
    <col min="9723" max="9723" width="18.5703125" style="2" customWidth="1"/>
    <col min="9724" max="9724" width="1" style="2" customWidth="1"/>
    <col min="9725" max="9727" width="7.7109375" style="2" customWidth="1"/>
    <col min="9728" max="9728" width="1" style="2" customWidth="1"/>
    <col min="9729" max="9731" width="7.7109375" style="2" customWidth="1"/>
    <col min="9732" max="9732" width="1.140625" style="2" customWidth="1"/>
    <col min="9733" max="9738" width="5.7109375" style="2" customWidth="1"/>
    <col min="9739" max="9741" width="0" style="2" hidden="1" customWidth="1"/>
    <col min="9742" max="9744" width="9.28515625" style="2" customWidth="1"/>
    <col min="9745" max="9978" width="9.140625" style="2"/>
    <col min="9979" max="9979" width="18.5703125" style="2" customWidth="1"/>
    <col min="9980" max="9980" width="1" style="2" customWidth="1"/>
    <col min="9981" max="9983" width="7.7109375" style="2" customWidth="1"/>
    <col min="9984" max="9984" width="1" style="2" customWidth="1"/>
    <col min="9985" max="9987" width="7.7109375" style="2" customWidth="1"/>
    <col min="9988" max="9988" width="1.140625" style="2" customWidth="1"/>
    <col min="9989" max="9994" width="5.7109375" style="2" customWidth="1"/>
    <col min="9995" max="9997" width="0" style="2" hidden="1" customWidth="1"/>
    <col min="9998" max="10000" width="9.28515625" style="2" customWidth="1"/>
    <col min="10001" max="10234" width="9.140625" style="2"/>
    <col min="10235" max="10235" width="18.5703125" style="2" customWidth="1"/>
    <col min="10236" max="10236" width="1" style="2" customWidth="1"/>
    <col min="10237" max="10239" width="7.7109375" style="2" customWidth="1"/>
    <col min="10240" max="10240" width="1" style="2" customWidth="1"/>
    <col min="10241" max="10243" width="7.7109375" style="2" customWidth="1"/>
    <col min="10244" max="10244" width="1.140625" style="2" customWidth="1"/>
    <col min="10245" max="10250" width="5.7109375" style="2" customWidth="1"/>
    <col min="10251" max="10253" width="0" style="2" hidden="1" customWidth="1"/>
    <col min="10254" max="10256" width="9.28515625" style="2" customWidth="1"/>
    <col min="10257" max="10490" width="9.140625" style="2"/>
    <col min="10491" max="10491" width="18.5703125" style="2" customWidth="1"/>
    <col min="10492" max="10492" width="1" style="2" customWidth="1"/>
    <col min="10493" max="10495" width="7.7109375" style="2" customWidth="1"/>
    <col min="10496" max="10496" width="1" style="2" customWidth="1"/>
    <col min="10497" max="10499" width="7.7109375" style="2" customWidth="1"/>
    <col min="10500" max="10500" width="1.140625" style="2" customWidth="1"/>
    <col min="10501" max="10506" width="5.7109375" style="2" customWidth="1"/>
    <col min="10507" max="10509" width="0" style="2" hidden="1" customWidth="1"/>
    <col min="10510" max="10512" width="9.28515625" style="2" customWidth="1"/>
    <col min="10513" max="10746" width="9.140625" style="2"/>
    <col min="10747" max="10747" width="18.5703125" style="2" customWidth="1"/>
    <col min="10748" max="10748" width="1" style="2" customWidth="1"/>
    <col min="10749" max="10751" width="7.7109375" style="2" customWidth="1"/>
    <col min="10752" max="10752" width="1" style="2" customWidth="1"/>
    <col min="10753" max="10755" width="7.7109375" style="2" customWidth="1"/>
    <col min="10756" max="10756" width="1.140625" style="2" customWidth="1"/>
    <col min="10757" max="10762" width="5.7109375" style="2" customWidth="1"/>
    <col min="10763" max="10765" width="0" style="2" hidden="1" customWidth="1"/>
    <col min="10766" max="10768" width="9.28515625" style="2" customWidth="1"/>
    <col min="10769" max="11002" width="9.140625" style="2"/>
    <col min="11003" max="11003" width="18.5703125" style="2" customWidth="1"/>
    <col min="11004" max="11004" width="1" style="2" customWidth="1"/>
    <col min="11005" max="11007" width="7.7109375" style="2" customWidth="1"/>
    <col min="11008" max="11008" width="1" style="2" customWidth="1"/>
    <col min="11009" max="11011" width="7.7109375" style="2" customWidth="1"/>
    <col min="11012" max="11012" width="1.140625" style="2" customWidth="1"/>
    <col min="11013" max="11018" width="5.7109375" style="2" customWidth="1"/>
    <col min="11019" max="11021" width="0" style="2" hidden="1" customWidth="1"/>
    <col min="11022" max="11024" width="9.28515625" style="2" customWidth="1"/>
    <col min="11025" max="11258" width="9.140625" style="2"/>
    <col min="11259" max="11259" width="18.5703125" style="2" customWidth="1"/>
    <col min="11260" max="11260" width="1" style="2" customWidth="1"/>
    <col min="11261" max="11263" width="7.7109375" style="2" customWidth="1"/>
    <col min="11264" max="11264" width="1" style="2" customWidth="1"/>
    <col min="11265" max="11267" width="7.7109375" style="2" customWidth="1"/>
    <col min="11268" max="11268" width="1.140625" style="2" customWidth="1"/>
    <col min="11269" max="11274" width="5.7109375" style="2" customWidth="1"/>
    <col min="11275" max="11277" width="0" style="2" hidden="1" customWidth="1"/>
    <col min="11278" max="11280" width="9.28515625" style="2" customWidth="1"/>
    <col min="11281" max="11514" width="9.140625" style="2"/>
    <col min="11515" max="11515" width="18.5703125" style="2" customWidth="1"/>
    <col min="11516" max="11516" width="1" style="2" customWidth="1"/>
    <col min="11517" max="11519" width="7.7109375" style="2" customWidth="1"/>
    <col min="11520" max="11520" width="1" style="2" customWidth="1"/>
    <col min="11521" max="11523" width="7.7109375" style="2" customWidth="1"/>
    <col min="11524" max="11524" width="1.140625" style="2" customWidth="1"/>
    <col min="11525" max="11530" width="5.7109375" style="2" customWidth="1"/>
    <col min="11531" max="11533" width="0" style="2" hidden="1" customWidth="1"/>
    <col min="11534" max="11536" width="9.28515625" style="2" customWidth="1"/>
    <col min="11537" max="11770" width="9.140625" style="2"/>
    <col min="11771" max="11771" width="18.5703125" style="2" customWidth="1"/>
    <col min="11772" max="11772" width="1" style="2" customWidth="1"/>
    <col min="11773" max="11775" width="7.7109375" style="2" customWidth="1"/>
    <col min="11776" max="11776" width="1" style="2" customWidth="1"/>
    <col min="11777" max="11779" width="7.7109375" style="2" customWidth="1"/>
    <col min="11780" max="11780" width="1.140625" style="2" customWidth="1"/>
    <col min="11781" max="11786" width="5.7109375" style="2" customWidth="1"/>
    <col min="11787" max="11789" width="0" style="2" hidden="1" customWidth="1"/>
    <col min="11790" max="11792" width="9.28515625" style="2" customWidth="1"/>
    <col min="11793" max="12026" width="9.140625" style="2"/>
    <col min="12027" max="12027" width="18.5703125" style="2" customWidth="1"/>
    <col min="12028" max="12028" width="1" style="2" customWidth="1"/>
    <col min="12029" max="12031" width="7.7109375" style="2" customWidth="1"/>
    <col min="12032" max="12032" width="1" style="2" customWidth="1"/>
    <col min="12033" max="12035" width="7.7109375" style="2" customWidth="1"/>
    <col min="12036" max="12036" width="1.140625" style="2" customWidth="1"/>
    <col min="12037" max="12042" width="5.7109375" style="2" customWidth="1"/>
    <col min="12043" max="12045" width="0" style="2" hidden="1" customWidth="1"/>
    <col min="12046" max="12048" width="9.28515625" style="2" customWidth="1"/>
    <col min="12049" max="12282" width="9.140625" style="2"/>
    <col min="12283" max="12283" width="18.5703125" style="2" customWidth="1"/>
    <col min="12284" max="12284" width="1" style="2" customWidth="1"/>
    <col min="12285" max="12287" width="7.7109375" style="2" customWidth="1"/>
    <col min="12288" max="12288" width="1" style="2" customWidth="1"/>
    <col min="12289" max="12291" width="7.7109375" style="2" customWidth="1"/>
    <col min="12292" max="12292" width="1.140625" style="2" customWidth="1"/>
    <col min="12293" max="12298" width="5.7109375" style="2" customWidth="1"/>
    <col min="12299" max="12301" width="0" style="2" hidden="1" customWidth="1"/>
    <col min="12302" max="12304" width="9.28515625" style="2" customWidth="1"/>
    <col min="12305" max="12538" width="9.140625" style="2"/>
    <col min="12539" max="12539" width="18.5703125" style="2" customWidth="1"/>
    <col min="12540" max="12540" width="1" style="2" customWidth="1"/>
    <col min="12541" max="12543" width="7.7109375" style="2" customWidth="1"/>
    <col min="12544" max="12544" width="1" style="2" customWidth="1"/>
    <col min="12545" max="12547" width="7.7109375" style="2" customWidth="1"/>
    <col min="12548" max="12548" width="1.140625" style="2" customWidth="1"/>
    <col min="12549" max="12554" width="5.7109375" style="2" customWidth="1"/>
    <col min="12555" max="12557" width="0" style="2" hidden="1" customWidth="1"/>
    <col min="12558" max="12560" width="9.28515625" style="2" customWidth="1"/>
    <col min="12561" max="12794" width="9.140625" style="2"/>
    <col min="12795" max="12795" width="18.5703125" style="2" customWidth="1"/>
    <col min="12796" max="12796" width="1" style="2" customWidth="1"/>
    <col min="12797" max="12799" width="7.7109375" style="2" customWidth="1"/>
    <col min="12800" max="12800" width="1" style="2" customWidth="1"/>
    <col min="12801" max="12803" width="7.7109375" style="2" customWidth="1"/>
    <col min="12804" max="12804" width="1.140625" style="2" customWidth="1"/>
    <col min="12805" max="12810" width="5.7109375" style="2" customWidth="1"/>
    <col min="12811" max="12813" width="0" style="2" hidden="1" customWidth="1"/>
    <col min="12814" max="12816" width="9.28515625" style="2" customWidth="1"/>
    <col min="12817" max="13050" width="9.140625" style="2"/>
    <col min="13051" max="13051" width="18.5703125" style="2" customWidth="1"/>
    <col min="13052" max="13052" width="1" style="2" customWidth="1"/>
    <col min="13053" max="13055" width="7.7109375" style="2" customWidth="1"/>
    <col min="13056" max="13056" width="1" style="2" customWidth="1"/>
    <col min="13057" max="13059" width="7.7109375" style="2" customWidth="1"/>
    <col min="13060" max="13060" width="1.140625" style="2" customWidth="1"/>
    <col min="13061" max="13066" width="5.7109375" style="2" customWidth="1"/>
    <col min="13067" max="13069" width="0" style="2" hidden="1" customWidth="1"/>
    <col min="13070" max="13072" width="9.28515625" style="2" customWidth="1"/>
    <col min="13073" max="13306" width="9.140625" style="2"/>
    <col min="13307" max="13307" width="18.5703125" style="2" customWidth="1"/>
    <col min="13308" max="13308" width="1" style="2" customWidth="1"/>
    <col min="13309" max="13311" width="7.7109375" style="2" customWidth="1"/>
    <col min="13312" max="13312" width="1" style="2" customWidth="1"/>
    <col min="13313" max="13315" width="7.7109375" style="2" customWidth="1"/>
    <col min="13316" max="13316" width="1.140625" style="2" customWidth="1"/>
    <col min="13317" max="13322" width="5.7109375" style="2" customWidth="1"/>
    <col min="13323" max="13325" width="0" style="2" hidden="1" customWidth="1"/>
    <col min="13326" max="13328" width="9.28515625" style="2" customWidth="1"/>
    <col min="13329" max="13562" width="9.140625" style="2"/>
    <col min="13563" max="13563" width="18.5703125" style="2" customWidth="1"/>
    <col min="13564" max="13564" width="1" style="2" customWidth="1"/>
    <col min="13565" max="13567" width="7.7109375" style="2" customWidth="1"/>
    <col min="13568" max="13568" width="1" style="2" customWidth="1"/>
    <col min="13569" max="13571" width="7.7109375" style="2" customWidth="1"/>
    <col min="13572" max="13572" width="1.140625" style="2" customWidth="1"/>
    <col min="13573" max="13578" width="5.7109375" style="2" customWidth="1"/>
    <col min="13579" max="13581" width="0" style="2" hidden="1" customWidth="1"/>
    <col min="13582" max="13584" width="9.28515625" style="2" customWidth="1"/>
    <col min="13585" max="13818" width="9.140625" style="2"/>
    <col min="13819" max="13819" width="18.5703125" style="2" customWidth="1"/>
    <col min="13820" max="13820" width="1" style="2" customWidth="1"/>
    <col min="13821" max="13823" width="7.7109375" style="2" customWidth="1"/>
    <col min="13824" max="13824" width="1" style="2" customWidth="1"/>
    <col min="13825" max="13827" width="7.7109375" style="2" customWidth="1"/>
    <col min="13828" max="13828" width="1.140625" style="2" customWidth="1"/>
    <col min="13829" max="13834" width="5.7109375" style="2" customWidth="1"/>
    <col min="13835" max="13837" width="0" style="2" hidden="1" customWidth="1"/>
    <col min="13838" max="13840" width="9.28515625" style="2" customWidth="1"/>
    <col min="13841" max="14074" width="9.140625" style="2"/>
    <col min="14075" max="14075" width="18.5703125" style="2" customWidth="1"/>
    <col min="14076" max="14076" width="1" style="2" customWidth="1"/>
    <col min="14077" max="14079" width="7.7109375" style="2" customWidth="1"/>
    <col min="14080" max="14080" width="1" style="2" customWidth="1"/>
    <col min="14081" max="14083" width="7.7109375" style="2" customWidth="1"/>
    <col min="14084" max="14084" width="1.140625" style="2" customWidth="1"/>
    <col min="14085" max="14090" width="5.7109375" style="2" customWidth="1"/>
    <col min="14091" max="14093" width="0" style="2" hidden="1" customWidth="1"/>
    <col min="14094" max="14096" width="9.28515625" style="2" customWidth="1"/>
    <col min="14097" max="14330" width="9.140625" style="2"/>
    <col min="14331" max="14331" width="18.5703125" style="2" customWidth="1"/>
    <col min="14332" max="14332" width="1" style="2" customWidth="1"/>
    <col min="14333" max="14335" width="7.7109375" style="2" customWidth="1"/>
    <col min="14336" max="14336" width="1" style="2" customWidth="1"/>
    <col min="14337" max="14339" width="7.7109375" style="2" customWidth="1"/>
    <col min="14340" max="14340" width="1.140625" style="2" customWidth="1"/>
    <col min="14341" max="14346" width="5.7109375" style="2" customWidth="1"/>
    <col min="14347" max="14349" width="0" style="2" hidden="1" customWidth="1"/>
    <col min="14350" max="14352" width="9.28515625" style="2" customWidth="1"/>
    <col min="14353" max="14586" width="9.140625" style="2"/>
    <col min="14587" max="14587" width="18.5703125" style="2" customWidth="1"/>
    <col min="14588" max="14588" width="1" style="2" customWidth="1"/>
    <col min="14589" max="14591" width="7.7109375" style="2" customWidth="1"/>
    <col min="14592" max="14592" width="1" style="2" customWidth="1"/>
    <col min="14593" max="14595" width="7.7109375" style="2" customWidth="1"/>
    <col min="14596" max="14596" width="1.140625" style="2" customWidth="1"/>
    <col min="14597" max="14602" width="5.7109375" style="2" customWidth="1"/>
    <col min="14603" max="14605" width="0" style="2" hidden="1" customWidth="1"/>
    <col min="14606" max="14608" width="9.28515625" style="2" customWidth="1"/>
    <col min="14609" max="14842" width="9.140625" style="2"/>
    <col min="14843" max="14843" width="18.5703125" style="2" customWidth="1"/>
    <col min="14844" max="14844" width="1" style="2" customWidth="1"/>
    <col min="14845" max="14847" width="7.7109375" style="2" customWidth="1"/>
    <col min="14848" max="14848" width="1" style="2" customWidth="1"/>
    <col min="14849" max="14851" width="7.7109375" style="2" customWidth="1"/>
    <col min="14852" max="14852" width="1.140625" style="2" customWidth="1"/>
    <col min="14853" max="14858" width="5.7109375" style="2" customWidth="1"/>
    <col min="14859" max="14861" width="0" style="2" hidden="1" customWidth="1"/>
    <col min="14862" max="14864" width="9.28515625" style="2" customWidth="1"/>
    <col min="14865" max="15098" width="9.140625" style="2"/>
    <col min="15099" max="15099" width="18.5703125" style="2" customWidth="1"/>
    <col min="15100" max="15100" width="1" style="2" customWidth="1"/>
    <col min="15101" max="15103" width="7.7109375" style="2" customWidth="1"/>
    <col min="15104" max="15104" width="1" style="2" customWidth="1"/>
    <col min="15105" max="15107" width="7.7109375" style="2" customWidth="1"/>
    <col min="15108" max="15108" width="1.140625" style="2" customWidth="1"/>
    <col min="15109" max="15114" width="5.7109375" style="2" customWidth="1"/>
    <col min="15115" max="15117" width="0" style="2" hidden="1" customWidth="1"/>
    <col min="15118" max="15120" width="9.28515625" style="2" customWidth="1"/>
    <col min="15121" max="15354" width="9.140625" style="2"/>
    <col min="15355" max="15355" width="18.5703125" style="2" customWidth="1"/>
    <col min="15356" max="15356" width="1" style="2" customWidth="1"/>
    <col min="15357" max="15359" width="7.7109375" style="2" customWidth="1"/>
    <col min="15360" max="15360" width="1" style="2" customWidth="1"/>
    <col min="15361" max="15363" width="7.7109375" style="2" customWidth="1"/>
    <col min="15364" max="15364" width="1.140625" style="2" customWidth="1"/>
    <col min="15365" max="15370" width="5.7109375" style="2" customWidth="1"/>
    <col min="15371" max="15373" width="0" style="2" hidden="1" customWidth="1"/>
    <col min="15374" max="15376" width="9.28515625" style="2" customWidth="1"/>
    <col min="15377" max="15610" width="9.140625" style="2"/>
    <col min="15611" max="15611" width="18.5703125" style="2" customWidth="1"/>
    <col min="15612" max="15612" width="1" style="2" customWidth="1"/>
    <col min="15613" max="15615" width="7.7109375" style="2" customWidth="1"/>
    <col min="15616" max="15616" width="1" style="2" customWidth="1"/>
    <col min="15617" max="15619" width="7.7109375" style="2" customWidth="1"/>
    <col min="15620" max="15620" width="1.140625" style="2" customWidth="1"/>
    <col min="15621" max="15626" width="5.7109375" style="2" customWidth="1"/>
    <col min="15627" max="15629" width="0" style="2" hidden="1" customWidth="1"/>
    <col min="15630" max="15632" width="9.28515625" style="2" customWidth="1"/>
    <col min="15633" max="15866" width="9.140625" style="2"/>
    <col min="15867" max="15867" width="18.5703125" style="2" customWidth="1"/>
    <col min="15868" max="15868" width="1" style="2" customWidth="1"/>
    <col min="15869" max="15871" width="7.7109375" style="2" customWidth="1"/>
    <col min="15872" max="15872" width="1" style="2" customWidth="1"/>
    <col min="15873" max="15875" width="7.7109375" style="2" customWidth="1"/>
    <col min="15876" max="15876" width="1.140625" style="2" customWidth="1"/>
    <col min="15877" max="15882" width="5.7109375" style="2" customWidth="1"/>
    <col min="15883" max="15885" width="0" style="2" hidden="1" customWidth="1"/>
    <col min="15886" max="15888" width="9.28515625" style="2" customWidth="1"/>
    <col min="15889" max="16122" width="9.140625" style="2"/>
    <col min="16123" max="16123" width="18.5703125" style="2" customWidth="1"/>
    <col min="16124" max="16124" width="1" style="2" customWidth="1"/>
    <col min="16125" max="16127" width="7.7109375" style="2" customWidth="1"/>
    <col min="16128" max="16128" width="1" style="2" customWidth="1"/>
    <col min="16129" max="16131" width="7.7109375" style="2" customWidth="1"/>
    <col min="16132" max="16132" width="1.140625" style="2" customWidth="1"/>
    <col min="16133" max="16138" width="5.7109375" style="2" customWidth="1"/>
    <col min="16139" max="16141" width="0" style="2" hidden="1" customWidth="1"/>
    <col min="16142" max="16144" width="9.28515625" style="2" customWidth="1"/>
    <col min="16145" max="16384" width="9.140625" style="2"/>
  </cols>
  <sheetData>
    <row r="1" spans="1:16" ht="15.95" customHeight="1" x14ac:dyDescent="0.25"/>
    <row r="2" spans="1:16" ht="37.5" customHeight="1" x14ac:dyDescent="0.25">
      <c r="A2" s="89" t="s">
        <v>22</v>
      </c>
      <c r="B2" s="90"/>
      <c r="C2" s="90"/>
      <c r="D2" s="90"/>
      <c r="E2" s="90"/>
      <c r="F2" s="90"/>
      <c r="G2" s="90"/>
      <c r="H2" s="90"/>
      <c r="I2" s="90"/>
      <c r="J2" s="90"/>
      <c r="K2" s="90"/>
    </row>
    <row r="3" spans="1:16" s="6" customFormat="1" ht="27" customHeight="1" x14ac:dyDescent="0.25">
      <c r="A3" s="93" t="s">
        <v>63</v>
      </c>
      <c r="B3" s="95" t="s">
        <v>5</v>
      </c>
      <c r="C3" s="96"/>
      <c r="D3" s="97"/>
      <c r="E3" s="101" t="s">
        <v>6</v>
      </c>
      <c r="F3" s="102"/>
      <c r="G3" s="103"/>
      <c r="H3" s="91" t="s">
        <v>1</v>
      </c>
      <c r="I3" s="92" t="s">
        <v>67</v>
      </c>
      <c r="J3" s="92" t="s">
        <v>65</v>
      </c>
      <c r="K3" s="91" t="s">
        <v>2</v>
      </c>
      <c r="L3" s="4"/>
      <c r="M3" s="4"/>
      <c r="N3" s="5"/>
    </row>
    <row r="4" spans="1:16" s="6" customFormat="1" ht="17.25" customHeight="1" x14ac:dyDescent="0.25">
      <c r="A4" s="94"/>
      <c r="B4" s="98"/>
      <c r="C4" s="99"/>
      <c r="D4" s="100"/>
      <c r="E4" s="104"/>
      <c r="F4" s="105"/>
      <c r="G4" s="106"/>
      <c r="H4" s="91"/>
      <c r="I4" s="92"/>
      <c r="J4" s="92"/>
      <c r="K4" s="91"/>
      <c r="L4" s="4"/>
      <c r="M4" s="4"/>
      <c r="N4" s="5"/>
    </row>
    <row r="5" spans="1:16" s="5" customFormat="1" ht="12.75" x14ac:dyDescent="0.25">
      <c r="A5" s="62" t="s">
        <v>47</v>
      </c>
      <c r="B5" s="10" t="s">
        <v>7</v>
      </c>
      <c r="C5" s="10" t="s">
        <v>108</v>
      </c>
      <c r="D5" s="10" t="s">
        <v>109</v>
      </c>
      <c r="E5" s="11" t="s">
        <v>110</v>
      </c>
      <c r="F5" s="10" t="s">
        <v>108</v>
      </c>
      <c r="G5" s="10" t="s">
        <v>109</v>
      </c>
      <c r="H5" s="91"/>
      <c r="I5" s="92"/>
      <c r="J5" s="92"/>
      <c r="K5" s="91"/>
      <c r="L5" s="4"/>
      <c r="M5" s="4"/>
    </row>
    <row r="6" spans="1:16" s="5" customFormat="1" ht="15.75" x14ac:dyDescent="0.25">
      <c r="A6" s="63" t="s">
        <v>46</v>
      </c>
      <c r="B6" s="12">
        <v>400</v>
      </c>
      <c r="C6" s="86">
        <v>450</v>
      </c>
      <c r="D6" s="12">
        <v>1100</v>
      </c>
      <c r="E6" s="12">
        <f>B6</f>
        <v>400</v>
      </c>
      <c r="F6" s="12">
        <f t="shared" ref="F6:F7" si="0">C6</f>
        <v>450</v>
      </c>
      <c r="G6" s="12">
        <f t="shared" ref="G6:G7" si="1">D6</f>
        <v>1100</v>
      </c>
      <c r="H6" s="113" t="s">
        <v>128</v>
      </c>
      <c r="I6" s="111" t="s">
        <v>112</v>
      </c>
      <c r="J6" s="111" t="s">
        <v>66</v>
      </c>
      <c r="K6" s="115" t="s">
        <v>111</v>
      </c>
      <c r="L6" s="4"/>
      <c r="M6" s="4"/>
      <c r="N6" s="7"/>
      <c r="O6" s="7"/>
      <c r="P6" s="7"/>
    </row>
    <row r="7" spans="1:16" s="5" customFormat="1" ht="13.9" customHeight="1" x14ac:dyDescent="0.25">
      <c r="A7" s="63" t="s">
        <v>54</v>
      </c>
      <c r="B7" s="12">
        <f t="shared" ref="B7:E7" si="2">B6</f>
        <v>400</v>
      </c>
      <c r="C7" s="86">
        <f t="shared" si="2"/>
        <v>450</v>
      </c>
      <c r="D7" s="12">
        <f t="shared" si="2"/>
        <v>1100</v>
      </c>
      <c r="E7" s="12">
        <f t="shared" si="2"/>
        <v>400</v>
      </c>
      <c r="F7" s="12">
        <f t="shared" si="0"/>
        <v>450</v>
      </c>
      <c r="G7" s="12">
        <f t="shared" si="1"/>
        <v>1100</v>
      </c>
      <c r="H7" s="114"/>
      <c r="I7" s="112"/>
      <c r="J7" s="112"/>
      <c r="K7" s="116"/>
      <c r="L7" s="4"/>
      <c r="M7" s="4"/>
      <c r="N7" s="7"/>
      <c r="O7" s="7"/>
      <c r="P7" s="7"/>
    </row>
    <row r="8" spans="1:16" s="5" customFormat="1" ht="15.75" customHeight="1" x14ac:dyDescent="0.25">
      <c r="A8" s="54"/>
      <c r="B8" s="55"/>
      <c r="C8" s="55"/>
      <c r="D8" s="55"/>
      <c r="E8" s="56"/>
      <c r="F8" s="56"/>
      <c r="G8" s="56"/>
      <c r="H8" s="57"/>
      <c r="I8" s="57"/>
      <c r="J8" s="57"/>
      <c r="K8" s="57"/>
      <c r="L8" s="16"/>
    </row>
    <row r="9" spans="1:16" ht="37.5" customHeight="1" x14ac:dyDescent="0.25">
      <c r="A9" s="89" t="s">
        <v>23</v>
      </c>
      <c r="B9" s="90"/>
      <c r="C9" s="90"/>
      <c r="D9" s="90"/>
      <c r="E9" s="90"/>
      <c r="F9" s="90"/>
      <c r="G9" s="90"/>
      <c r="H9" s="90"/>
      <c r="I9" s="90"/>
      <c r="J9" s="90"/>
      <c r="K9" s="90"/>
    </row>
    <row r="10" spans="1:16" s="6" customFormat="1" ht="27" customHeight="1" x14ac:dyDescent="0.25">
      <c r="A10" s="93" t="s">
        <v>64</v>
      </c>
      <c r="B10" s="95" t="s">
        <v>68</v>
      </c>
      <c r="C10" s="96"/>
      <c r="D10" s="97"/>
      <c r="E10" s="101" t="s">
        <v>69</v>
      </c>
      <c r="F10" s="102"/>
      <c r="G10" s="103"/>
      <c r="H10" s="91" t="s">
        <v>1</v>
      </c>
      <c r="I10" s="92" t="s">
        <v>70</v>
      </c>
      <c r="J10" s="92" t="s">
        <v>8</v>
      </c>
      <c r="K10" s="91" t="s">
        <v>2</v>
      </c>
      <c r="L10" s="4"/>
      <c r="M10" s="4"/>
      <c r="N10" s="5"/>
    </row>
    <row r="11" spans="1:16" s="6" customFormat="1" ht="17.25" customHeight="1" x14ac:dyDescent="0.25">
      <c r="A11" s="94"/>
      <c r="B11" s="98"/>
      <c r="C11" s="99"/>
      <c r="D11" s="100"/>
      <c r="E11" s="104"/>
      <c r="F11" s="105"/>
      <c r="G11" s="106"/>
      <c r="H11" s="91"/>
      <c r="I11" s="92"/>
      <c r="J11" s="92"/>
      <c r="K11" s="91"/>
      <c r="L11" s="4"/>
      <c r="M11" s="4"/>
      <c r="N11" s="5"/>
    </row>
    <row r="12" spans="1:16" s="5" customFormat="1" ht="12.75" x14ac:dyDescent="0.25">
      <c r="A12" s="62" t="s">
        <v>48</v>
      </c>
      <c r="B12" s="10" t="s">
        <v>7</v>
      </c>
      <c r="C12" s="10" t="str">
        <f t="shared" ref="C12:D12" si="3">C5</f>
        <v>40'HC</v>
      </c>
      <c r="D12" s="10" t="str">
        <f t="shared" si="3"/>
        <v>45'HCPW</v>
      </c>
      <c r="E12" s="11" t="s">
        <v>110</v>
      </c>
      <c r="F12" s="11" t="str">
        <f t="shared" ref="F12:G12" si="4">F5</f>
        <v>40'HC</v>
      </c>
      <c r="G12" s="11" t="str">
        <f t="shared" si="4"/>
        <v>45'HCPW</v>
      </c>
      <c r="H12" s="91"/>
      <c r="I12" s="92"/>
      <c r="J12" s="92"/>
      <c r="K12" s="91"/>
      <c r="L12" s="4"/>
      <c r="M12" s="4"/>
    </row>
    <row r="13" spans="1:16" s="5" customFormat="1" ht="14.45" customHeight="1" x14ac:dyDescent="0.25">
      <c r="A13" s="63" t="s">
        <v>46</v>
      </c>
      <c r="B13" s="12">
        <v>950</v>
      </c>
      <c r="C13" s="86">
        <v>1250</v>
      </c>
      <c r="D13" s="12">
        <v>1500</v>
      </c>
      <c r="E13" s="12">
        <f t="shared" ref="E13:E14" si="5">B13</f>
        <v>950</v>
      </c>
      <c r="F13" s="12">
        <f t="shared" ref="F13:G14" si="6">C13</f>
        <v>1250</v>
      </c>
      <c r="G13" s="12">
        <f t="shared" si="6"/>
        <v>1500</v>
      </c>
      <c r="H13" s="113" t="str">
        <f>H6</f>
        <v>1/8 - 31/8/2026</v>
      </c>
      <c r="I13" s="111" t="s">
        <v>107</v>
      </c>
      <c r="J13" s="111" t="s">
        <v>113</v>
      </c>
      <c r="K13" s="115" t="s">
        <v>111</v>
      </c>
      <c r="L13" s="4"/>
      <c r="M13" s="4"/>
      <c r="N13" s="7"/>
      <c r="O13" s="7"/>
      <c r="P13" s="7"/>
    </row>
    <row r="14" spans="1:16" s="5" customFormat="1" ht="13.9" customHeight="1" x14ac:dyDescent="0.25">
      <c r="A14" s="63" t="str">
        <f>$A$7</f>
        <v>GEBZE</v>
      </c>
      <c r="B14" s="12">
        <f>B13</f>
        <v>950</v>
      </c>
      <c r="C14" s="86">
        <v>1250</v>
      </c>
      <c r="D14" s="12">
        <v>1500</v>
      </c>
      <c r="E14" s="12">
        <f t="shared" si="5"/>
        <v>950</v>
      </c>
      <c r="F14" s="12">
        <f t="shared" si="6"/>
        <v>1250</v>
      </c>
      <c r="G14" s="12">
        <f t="shared" si="6"/>
        <v>1500</v>
      </c>
      <c r="H14" s="114"/>
      <c r="I14" s="112"/>
      <c r="J14" s="112"/>
      <c r="K14" s="116"/>
      <c r="L14" s="4"/>
      <c r="M14" s="4"/>
      <c r="N14" s="7"/>
      <c r="O14" s="7"/>
      <c r="P14" s="7"/>
    </row>
    <row r="15" spans="1:16" s="5" customFormat="1" ht="12.75" x14ac:dyDescent="0.25">
      <c r="A15" s="58"/>
      <c r="B15" s="59"/>
      <c r="C15" s="59"/>
      <c r="D15" s="59"/>
      <c r="E15" s="60"/>
      <c r="F15" s="60"/>
      <c r="G15" s="60"/>
      <c r="H15" s="61"/>
      <c r="I15" s="61"/>
      <c r="J15" s="61"/>
      <c r="K15" s="61"/>
    </row>
    <row r="16" spans="1:16" s="5" customFormat="1" ht="19.5" customHeight="1" x14ac:dyDescent="0.2">
      <c r="A16" s="109"/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8"/>
    </row>
    <row r="17" spans="1:11" s="9" customFormat="1" ht="16.5" customHeight="1" x14ac:dyDescent="0.2">
      <c r="A17" s="109"/>
      <c r="B17" s="110"/>
      <c r="C17" s="110"/>
      <c r="D17" s="110"/>
      <c r="E17" s="110"/>
      <c r="F17" s="110"/>
      <c r="G17" s="110"/>
      <c r="H17" s="110"/>
      <c r="I17" s="110"/>
      <c r="J17" s="110"/>
      <c r="K17" s="110"/>
    </row>
    <row r="18" spans="1:11" s="9" customFormat="1" ht="15.75" customHeight="1" x14ac:dyDescent="0.2">
      <c r="A18" s="17" t="s">
        <v>4</v>
      </c>
      <c r="B18" s="13"/>
      <c r="C18" s="13"/>
      <c r="D18" s="13"/>
      <c r="E18" s="14"/>
      <c r="F18" s="14"/>
      <c r="G18" s="14"/>
      <c r="H18" s="15"/>
      <c r="I18" s="15"/>
      <c r="J18" s="15"/>
      <c r="K18" s="15"/>
    </row>
    <row r="19" spans="1:11" ht="18" customHeight="1" x14ac:dyDescent="0.25">
      <c r="A19" s="107" t="s">
        <v>3</v>
      </c>
      <c r="B19" s="107"/>
      <c r="C19" s="107"/>
      <c r="D19" s="107"/>
      <c r="E19" s="107"/>
      <c r="F19" s="107"/>
      <c r="G19" s="107"/>
      <c r="H19" s="107"/>
      <c r="I19" s="107"/>
      <c r="J19" s="107"/>
      <c r="K19" s="107"/>
    </row>
    <row r="20" spans="1:11" x14ac:dyDescent="0.25">
      <c r="A20" s="107" t="s">
        <v>126</v>
      </c>
      <c r="B20" s="108"/>
      <c r="C20" s="108"/>
      <c r="D20" s="108"/>
      <c r="E20" s="108"/>
      <c r="F20" s="108"/>
      <c r="G20" s="108"/>
      <c r="H20" s="108"/>
      <c r="I20" s="108"/>
      <c r="J20" s="108"/>
      <c r="K20" s="108"/>
    </row>
    <row r="21" spans="1:11" s="9" customFormat="1" ht="19.5" customHeight="1" x14ac:dyDescent="0.2">
      <c r="A21" s="107" t="s">
        <v>36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</row>
    <row r="22" spans="1:11" ht="23.25" customHeight="1" x14ac:dyDescent="0.25">
      <c r="A22" s="107" t="s">
        <v>35</v>
      </c>
      <c r="B22" s="108"/>
      <c r="C22" s="108"/>
      <c r="D22" s="108"/>
      <c r="E22" s="108"/>
      <c r="F22" s="108"/>
      <c r="G22" s="108"/>
      <c r="H22" s="108"/>
      <c r="I22" s="108"/>
      <c r="J22" s="108"/>
      <c r="K22" s="108"/>
    </row>
  </sheetData>
  <mergeCells count="30">
    <mergeCell ref="H6:H7"/>
    <mergeCell ref="I6:I7"/>
    <mergeCell ref="J6:J7"/>
    <mergeCell ref="K6:K7"/>
    <mergeCell ref="J13:J14"/>
    <mergeCell ref="K13:K14"/>
    <mergeCell ref="J10:J12"/>
    <mergeCell ref="A20:K20"/>
    <mergeCell ref="A22:K22"/>
    <mergeCell ref="A21:K21"/>
    <mergeCell ref="A19:K19"/>
    <mergeCell ref="A9:K9"/>
    <mergeCell ref="A10:A11"/>
    <mergeCell ref="I10:I12"/>
    <mergeCell ref="K10:K12"/>
    <mergeCell ref="B10:D11"/>
    <mergeCell ref="E10:G11"/>
    <mergeCell ref="H10:H12"/>
    <mergeCell ref="A16:K16"/>
    <mergeCell ref="A17:K17"/>
    <mergeCell ref="I13:I14"/>
    <mergeCell ref="H13:H14"/>
    <mergeCell ref="A2:K2"/>
    <mergeCell ref="H3:H5"/>
    <mergeCell ref="I3:I5"/>
    <mergeCell ref="A3:A4"/>
    <mergeCell ref="B3:D4"/>
    <mergeCell ref="E3:G4"/>
    <mergeCell ref="K3:K5"/>
    <mergeCell ref="J3:J5"/>
  </mergeCells>
  <pageMargins left="0.7" right="0.7" top="0.75" bottom="0.75" header="0.3" footer="0.3"/>
  <pageSetup paperSize="9"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7"/>
  <sheetViews>
    <sheetView zoomScale="130" zoomScaleNormal="130" workbookViewId="0">
      <selection activeCell="G15" sqref="G15"/>
    </sheetView>
  </sheetViews>
  <sheetFormatPr defaultRowHeight="15" x14ac:dyDescent="0.25"/>
  <cols>
    <col min="1" max="1" width="36.28515625" customWidth="1"/>
  </cols>
  <sheetData>
    <row r="2" spans="1:4" ht="15.75" thickBot="1" x14ac:dyDescent="0.3">
      <c r="A2" s="88"/>
    </row>
    <row r="3" spans="1:4" ht="15.75" thickBot="1" x14ac:dyDescent="0.3">
      <c r="A3" s="65" t="s">
        <v>34</v>
      </c>
      <c r="B3" s="66" t="s">
        <v>28</v>
      </c>
      <c r="C3" s="66" t="s">
        <v>7</v>
      </c>
      <c r="D3" s="66" t="s">
        <v>0</v>
      </c>
    </row>
    <row r="4" spans="1:4" ht="15.75" thickBot="1" x14ac:dyDescent="0.3">
      <c r="A4" s="67" t="s">
        <v>72</v>
      </c>
      <c r="B4" s="68" t="s">
        <v>29</v>
      </c>
      <c r="C4" s="69">
        <v>400</v>
      </c>
      <c r="D4" s="69">
        <v>700</v>
      </c>
    </row>
    <row r="5" spans="1:4" ht="15.75" thickBot="1" x14ac:dyDescent="0.3">
      <c r="A5" s="67" t="s">
        <v>73</v>
      </c>
      <c r="B5" s="68" t="s">
        <v>29</v>
      </c>
      <c r="C5" s="69">
        <v>500</v>
      </c>
      <c r="D5" s="69">
        <v>900</v>
      </c>
    </row>
    <row r="6" spans="1:4" ht="15.75" thickBot="1" x14ac:dyDescent="0.3">
      <c r="A6" s="70" t="s">
        <v>55</v>
      </c>
      <c r="B6" s="71" t="s">
        <v>29</v>
      </c>
      <c r="C6" s="72">
        <v>386</v>
      </c>
      <c r="D6" s="72">
        <f>C6</f>
        <v>386</v>
      </c>
    </row>
    <row r="7" spans="1:4" ht="15.75" thickBot="1" x14ac:dyDescent="0.3">
      <c r="A7" s="70" t="s">
        <v>71</v>
      </c>
      <c r="B7" s="73" t="s">
        <v>74</v>
      </c>
      <c r="C7" s="74"/>
      <c r="D7" s="74"/>
    </row>
    <row r="8" spans="1:4" ht="15.75" thickBot="1" x14ac:dyDescent="0.3">
      <c r="A8" s="75" t="s">
        <v>75</v>
      </c>
      <c r="B8" s="76" t="s">
        <v>28</v>
      </c>
      <c r="C8" s="76" t="s">
        <v>7</v>
      </c>
      <c r="D8" s="76" t="s">
        <v>0</v>
      </c>
    </row>
    <row r="9" spans="1:4" ht="15.75" thickBot="1" x14ac:dyDescent="0.3">
      <c r="A9" s="67" t="s">
        <v>30</v>
      </c>
      <c r="B9" s="68" t="s">
        <v>29</v>
      </c>
      <c r="C9" s="69">
        <f t="shared" ref="C9:D10" si="0">C4</f>
        <v>400</v>
      </c>
      <c r="D9" s="69">
        <f t="shared" si="0"/>
        <v>700</v>
      </c>
    </row>
    <row r="10" spans="1:4" ht="15.75" thickBot="1" x14ac:dyDescent="0.3">
      <c r="A10" s="67" t="s">
        <v>73</v>
      </c>
      <c r="B10" s="68" t="s">
        <v>29</v>
      </c>
      <c r="C10" s="69">
        <f t="shared" si="0"/>
        <v>500</v>
      </c>
      <c r="D10" s="69">
        <f t="shared" si="0"/>
        <v>900</v>
      </c>
    </row>
    <row r="11" spans="1:4" ht="15.75" thickBot="1" x14ac:dyDescent="0.3">
      <c r="A11" s="70" t="s">
        <v>55</v>
      </c>
      <c r="B11" s="71" t="s">
        <v>29</v>
      </c>
      <c r="C11" s="72">
        <f t="shared" ref="C11:D11" si="1">C6</f>
        <v>386</v>
      </c>
      <c r="D11" s="72">
        <f t="shared" si="1"/>
        <v>386</v>
      </c>
    </row>
    <row r="12" spans="1:4" ht="15.75" thickBot="1" x14ac:dyDescent="0.3">
      <c r="A12" s="70" t="s">
        <v>127</v>
      </c>
      <c r="B12" s="71" t="s">
        <v>29</v>
      </c>
      <c r="C12" s="72">
        <v>85</v>
      </c>
      <c r="D12" s="72">
        <v>85</v>
      </c>
    </row>
    <row r="13" spans="1:4" ht="27.75" customHeight="1" thickBot="1" x14ac:dyDescent="0.3">
      <c r="A13" s="117" t="s">
        <v>31</v>
      </c>
      <c r="B13" s="118"/>
      <c r="C13" s="118"/>
      <c r="D13" s="119"/>
    </row>
    <row r="14" spans="1:4" ht="15.75" thickBot="1" x14ac:dyDescent="0.3">
      <c r="A14" s="120" t="s">
        <v>76</v>
      </c>
      <c r="B14" s="121"/>
      <c r="C14" s="121"/>
      <c r="D14" s="122"/>
    </row>
    <row r="15" spans="1:4" ht="25.5" customHeight="1" thickBot="1" x14ac:dyDescent="0.3">
      <c r="A15" s="123" t="s">
        <v>77</v>
      </c>
      <c r="B15" s="124"/>
      <c r="C15" s="124"/>
      <c r="D15" s="125"/>
    </row>
    <row r="16" spans="1:4" ht="15.75" thickBot="1" x14ac:dyDescent="0.3">
      <c r="A16" s="117" t="s">
        <v>32</v>
      </c>
      <c r="B16" s="118"/>
      <c r="C16" s="118"/>
      <c r="D16" s="119"/>
    </row>
    <row r="17" spans="1:4" ht="15.75" thickBot="1" x14ac:dyDescent="0.3">
      <c r="A17" s="117" t="s">
        <v>33</v>
      </c>
      <c r="B17" s="118"/>
      <c r="C17" s="118"/>
      <c r="D17" s="119"/>
    </row>
  </sheetData>
  <mergeCells count="5">
    <mergeCell ref="A13:D13"/>
    <mergeCell ref="A14:D14"/>
    <mergeCell ref="A15:D15"/>
    <mergeCell ref="A16:D16"/>
    <mergeCell ref="A17:D1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8A8B-29C2-460D-A3D5-9161D4AEC801}">
  <dimension ref="A1:D31"/>
  <sheetViews>
    <sheetView workbookViewId="0">
      <selection activeCell="C37" sqref="C37"/>
    </sheetView>
  </sheetViews>
  <sheetFormatPr defaultColWidth="9.140625" defaultRowHeight="12.75" x14ac:dyDescent="0.2"/>
  <cols>
    <col min="1" max="1" width="39" style="27" customWidth="1"/>
    <col min="2" max="2" width="15" style="27" customWidth="1"/>
    <col min="3" max="3" width="31.42578125" style="27" customWidth="1"/>
    <col min="4" max="4" width="24" style="27" bestFit="1" customWidth="1"/>
    <col min="5" max="5" width="31" style="27" bestFit="1" customWidth="1"/>
    <col min="6" max="6" width="33.42578125" style="27" customWidth="1"/>
    <col min="7" max="7" width="24.7109375" style="27" customWidth="1"/>
    <col min="8" max="16384" width="9.140625" style="27"/>
  </cols>
  <sheetData>
    <row r="1" spans="1:3" s="23" customFormat="1" ht="12" x14ac:dyDescent="0.2"/>
    <row r="2" spans="1:3" ht="13.5" thickBot="1" x14ac:dyDescent="0.25"/>
    <row r="3" spans="1:3" ht="16.5" thickBot="1" x14ac:dyDescent="0.25">
      <c r="A3" s="126" t="s">
        <v>79</v>
      </c>
      <c r="B3" s="127"/>
      <c r="C3" s="128"/>
    </row>
    <row r="4" spans="1:3" ht="13.5" thickBot="1" x14ac:dyDescent="0.25">
      <c r="A4" s="77" t="s">
        <v>96</v>
      </c>
      <c r="B4" s="78" t="s">
        <v>7</v>
      </c>
      <c r="C4" s="78" t="s">
        <v>0</v>
      </c>
    </row>
    <row r="5" spans="1:3" ht="13.5" thickBot="1" x14ac:dyDescent="0.25">
      <c r="A5" s="79" t="s">
        <v>99</v>
      </c>
      <c r="B5" s="80" t="s">
        <v>80</v>
      </c>
      <c r="C5" s="80" t="s">
        <v>80</v>
      </c>
    </row>
    <row r="6" spans="1:3" ht="13.5" thickBot="1" x14ac:dyDescent="0.25">
      <c r="A6" s="79" t="s">
        <v>81</v>
      </c>
      <c r="B6" s="80" t="s">
        <v>82</v>
      </c>
      <c r="C6" s="80" t="s">
        <v>83</v>
      </c>
    </row>
    <row r="7" spans="1:3" ht="13.5" thickBot="1" x14ac:dyDescent="0.25">
      <c r="A7" s="79" t="s">
        <v>84</v>
      </c>
      <c r="B7" s="80" t="s">
        <v>83</v>
      </c>
      <c r="C7" s="80" t="s">
        <v>85</v>
      </c>
    </row>
    <row r="8" spans="1:3" ht="15.75" thickBot="1" x14ac:dyDescent="0.3">
      <c r="A8" s="81"/>
      <c r="B8"/>
      <c r="C8"/>
    </row>
    <row r="9" spans="1:3" ht="13.5" thickBot="1" x14ac:dyDescent="0.25">
      <c r="A9" s="82" t="s">
        <v>97</v>
      </c>
      <c r="B9" s="83" t="s">
        <v>7</v>
      </c>
      <c r="C9" s="83" t="s">
        <v>0</v>
      </c>
    </row>
    <row r="10" spans="1:3" ht="13.5" thickBot="1" x14ac:dyDescent="0.25">
      <c r="A10" s="129" t="s">
        <v>86</v>
      </c>
      <c r="B10" s="130"/>
      <c r="C10" s="131"/>
    </row>
    <row r="11" spans="1:3" ht="13.5" thickBot="1" x14ac:dyDescent="0.25">
      <c r="A11" s="79" t="s">
        <v>87</v>
      </c>
      <c r="B11" s="80" t="s">
        <v>80</v>
      </c>
      <c r="C11" s="80" t="s">
        <v>80</v>
      </c>
    </row>
    <row r="12" spans="1:3" ht="13.5" thickBot="1" x14ac:dyDescent="0.25">
      <c r="A12" s="79" t="s">
        <v>88</v>
      </c>
      <c r="B12" s="80" t="s">
        <v>82</v>
      </c>
      <c r="C12" s="80" t="s">
        <v>83</v>
      </c>
    </row>
    <row r="13" spans="1:3" ht="13.5" thickBot="1" x14ac:dyDescent="0.25">
      <c r="A13" s="79" t="s">
        <v>89</v>
      </c>
      <c r="B13" s="80" t="s">
        <v>83</v>
      </c>
      <c r="C13" s="80" t="s">
        <v>85</v>
      </c>
    </row>
    <row r="15" spans="1:3" ht="13.5" thickBot="1" x14ac:dyDescent="0.25">
      <c r="A15" s="80"/>
    </row>
    <row r="16" spans="1:3" x14ac:dyDescent="0.2">
      <c r="A16" s="132" t="s">
        <v>90</v>
      </c>
      <c r="B16" s="133"/>
      <c r="C16" s="134"/>
    </row>
    <row r="17" spans="1:4" ht="13.5" thickBot="1" x14ac:dyDescent="0.25">
      <c r="A17" s="135"/>
      <c r="B17" s="136"/>
      <c r="C17" s="137"/>
    </row>
    <row r="18" spans="1:4" ht="13.5" thickBot="1" x14ac:dyDescent="0.25">
      <c r="A18" s="77" t="s">
        <v>98</v>
      </c>
      <c r="B18" s="78" t="s">
        <v>7</v>
      </c>
      <c r="C18" s="78" t="s">
        <v>0</v>
      </c>
    </row>
    <row r="19" spans="1:4" ht="13.5" thickBot="1" x14ac:dyDescent="0.25">
      <c r="A19" s="129" t="s">
        <v>101</v>
      </c>
      <c r="B19" s="130"/>
      <c r="C19" s="131"/>
    </row>
    <row r="20" spans="1:4" ht="13.5" thickBot="1" x14ac:dyDescent="0.25">
      <c r="A20" s="79" t="s">
        <v>100</v>
      </c>
      <c r="B20" s="80" t="s">
        <v>80</v>
      </c>
      <c r="C20" s="80" t="s">
        <v>80</v>
      </c>
    </row>
    <row r="21" spans="1:4" ht="13.5" thickBot="1" x14ac:dyDescent="0.25">
      <c r="A21" s="79" t="s">
        <v>91</v>
      </c>
      <c r="B21" s="80" t="s">
        <v>92</v>
      </c>
      <c r="C21" s="80" t="s">
        <v>93</v>
      </c>
    </row>
    <row r="22" spans="1:4" ht="13.5" thickBot="1" x14ac:dyDescent="0.25">
      <c r="A22" s="79" t="s">
        <v>84</v>
      </c>
      <c r="B22" s="80" t="s">
        <v>94</v>
      </c>
      <c r="C22" s="80" t="s">
        <v>95</v>
      </c>
    </row>
    <row r="23" spans="1:4" ht="15" x14ac:dyDescent="0.25">
      <c r="A23" s="84"/>
      <c r="B23" s="85"/>
      <c r="C23" s="85"/>
    </row>
    <row r="24" spans="1:4" x14ac:dyDescent="0.2">
      <c r="A24" s="45"/>
      <c r="B24" s="45"/>
      <c r="C24" s="45"/>
      <c r="D24" s="45"/>
    </row>
    <row r="25" spans="1:4" x14ac:dyDescent="0.2">
      <c r="A25" s="45"/>
      <c r="B25" s="45"/>
      <c r="C25" s="45"/>
      <c r="D25" s="45"/>
    </row>
    <row r="26" spans="1:4" x14ac:dyDescent="0.2">
      <c r="A26" s="45"/>
      <c r="B26" s="45"/>
      <c r="C26" s="45"/>
      <c r="D26" s="45"/>
    </row>
    <row r="27" spans="1:4" x14ac:dyDescent="0.2">
      <c r="A27" s="45"/>
      <c r="B27" s="45"/>
      <c r="C27" s="45"/>
      <c r="D27" s="45"/>
    </row>
    <row r="28" spans="1:4" x14ac:dyDescent="0.2">
      <c r="A28" s="45"/>
      <c r="B28" s="45"/>
      <c r="C28" s="45"/>
      <c r="D28" s="45"/>
    </row>
    <row r="29" spans="1:4" x14ac:dyDescent="0.2">
      <c r="A29" s="45"/>
      <c r="B29" s="45"/>
      <c r="C29" s="45"/>
      <c r="D29" s="45"/>
    </row>
    <row r="30" spans="1:4" x14ac:dyDescent="0.2">
      <c r="A30" s="45"/>
      <c r="B30" s="45"/>
      <c r="C30" s="45"/>
      <c r="D30" s="45"/>
    </row>
    <row r="31" spans="1:4" x14ac:dyDescent="0.2">
      <c r="A31" s="45"/>
      <c r="B31" s="45"/>
      <c r="C31" s="45"/>
      <c r="D31" s="45"/>
    </row>
  </sheetData>
  <mergeCells count="4">
    <mergeCell ref="A3:C3"/>
    <mergeCell ref="A10:C10"/>
    <mergeCell ref="A16:C17"/>
    <mergeCell ref="A19:C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7"/>
  <sheetViews>
    <sheetView workbookViewId="0">
      <selection activeCell="F27" sqref="F27"/>
    </sheetView>
  </sheetViews>
  <sheetFormatPr defaultColWidth="9.140625" defaultRowHeight="12.75" x14ac:dyDescent="0.2"/>
  <cols>
    <col min="1" max="1" width="39" style="27" customWidth="1"/>
    <col min="2" max="2" width="15" style="27" customWidth="1"/>
    <col min="3" max="3" width="31.42578125" style="27" customWidth="1"/>
    <col min="4" max="4" width="24" style="27" bestFit="1" customWidth="1"/>
    <col min="5" max="5" width="31" style="27" bestFit="1" customWidth="1"/>
    <col min="6" max="6" width="33.42578125" style="27" customWidth="1"/>
    <col min="7" max="7" width="24.7109375" style="27" customWidth="1"/>
    <col min="8" max="16384" width="9.140625" style="27"/>
  </cols>
  <sheetData>
    <row r="1" spans="1:7" s="23" customFormat="1" ht="31.5" x14ac:dyDescent="0.2">
      <c r="A1" s="18" t="s">
        <v>121</v>
      </c>
      <c r="B1" s="19"/>
      <c r="C1" s="20"/>
      <c r="D1" s="21"/>
      <c r="E1" s="20"/>
      <c r="F1" s="20"/>
      <c r="G1" s="22"/>
    </row>
    <row r="2" spans="1:7" ht="15" x14ac:dyDescent="0.2">
      <c r="A2" s="24"/>
      <c r="B2" s="25"/>
      <c r="C2" s="25"/>
      <c r="D2" s="25"/>
      <c r="E2" s="25"/>
      <c r="F2" s="25"/>
      <c r="G2" s="26"/>
    </row>
    <row r="3" spans="1:7" ht="15" x14ac:dyDescent="0.2">
      <c r="A3" s="28" t="s">
        <v>9</v>
      </c>
      <c r="B3" s="47" t="s">
        <v>10</v>
      </c>
      <c r="C3" s="47" t="s">
        <v>11</v>
      </c>
      <c r="D3" s="47" t="s">
        <v>43</v>
      </c>
      <c r="E3" s="47" t="s">
        <v>12</v>
      </c>
      <c r="F3" s="47" t="s">
        <v>13</v>
      </c>
      <c r="G3" s="29" t="s">
        <v>14</v>
      </c>
    </row>
    <row r="4" spans="1:7" ht="15" x14ac:dyDescent="0.2">
      <c r="A4" s="51" t="s">
        <v>15</v>
      </c>
      <c r="B4" s="52" t="s">
        <v>16</v>
      </c>
      <c r="C4" s="53" t="s">
        <v>42</v>
      </c>
      <c r="D4" s="53" t="s">
        <v>44</v>
      </c>
      <c r="E4" s="32" t="s">
        <v>53</v>
      </c>
      <c r="F4" s="40" t="s">
        <v>57</v>
      </c>
      <c r="G4" s="48"/>
    </row>
    <row r="5" spans="1:7" ht="15" x14ac:dyDescent="0.2">
      <c r="A5" s="51"/>
      <c r="B5" s="64"/>
      <c r="C5" s="53"/>
      <c r="D5" s="53"/>
      <c r="E5" s="32"/>
      <c r="F5" s="34"/>
      <c r="G5" s="48"/>
    </row>
    <row r="6" spans="1:7" ht="15" x14ac:dyDescent="0.2">
      <c r="A6" s="30"/>
      <c r="B6" s="31"/>
      <c r="C6" s="53" t="s">
        <v>56</v>
      </c>
      <c r="D6" s="53" t="s">
        <v>45</v>
      </c>
      <c r="E6" s="32" t="s">
        <v>52</v>
      </c>
      <c r="F6" s="40" t="s">
        <v>58</v>
      </c>
      <c r="G6" s="33"/>
    </row>
    <row r="7" spans="1:7" ht="15" x14ac:dyDescent="0.2">
      <c r="A7" s="37" t="s">
        <v>37</v>
      </c>
      <c r="B7" s="49"/>
      <c r="C7" s="49"/>
      <c r="D7" s="49"/>
      <c r="E7" s="49"/>
      <c r="F7" s="49"/>
      <c r="G7" s="38"/>
    </row>
    <row r="8" spans="1:7" ht="15" x14ac:dyDescent="0.2">
      <c r="A8" s="51" t="s">
        <v>39</v>
      </c>
      <c r="B8" s="31"/>
      <c r="C8" s="53" t="s">
        <v>17</v>
      </c>
      <c r="D8" s="53" t="s">
        <v>38</v>
      </c>
      <c r="E8" s="32" t="s">
        <v>40</v>
      </c>
      <c r="F8" s="34" t="s">
        <v>41</v>
      </c>
      <c r="G8" s="35"/>
    </row>
    <row r="9" spans="1:7" ht="15" x14ac:dyDescent="0.2">
      <c r="A9" s="44"/>
      <c r="B9" s="50"/>
      <c r="C9" s="53" t="s">
        <v>122</v>
      </c>
      <c r="D9" s="53" t="s">
        <v>115</v>
      </c>
      <c r="E9" s="32" t="s">
        <v>116</v>
      </c>
      <c r="F9" s="34" t="s">
        <v>117</v>
      </c>
      <c r="G9" s="36"/>
    </row>
    <row r="10" spans="1:7" ht="15" x14ac:dyDescent="0.2">
      <c r="A10" s="44"/>
      <c r="B10" s="50"/>
      <c r="C10" s="53" t="s">
        <v>59</v>
      </c>
      <c r="D10" s="53" t="s">
        <v>60</v>
      </c>
      <c r="E10" s="32" t="s">
        <v>61</v>
      </c>
      <c r="F10" s="34" t="s">
        <v>62</v>
      </c>
      <c r="G10" s="36"/>
    </row>
    <row r="11" spans="1:7" ht="15.75" thickBot="1" x14ac:dyDescent="0.25">
      <c r="A11" s="41"/>
      <c r="B11" s="42"/>
      <c r="C11" s="53" t="s">
        <v>102</v>
      </c>
      <c r="D11" s="53" t="s">
        <v>103</v>
      </c>
      <c r="E11" s="32" t="s">
        <v>104</v>
      </c>
      <c r="F11" s="34" t="s">
        <v>105</v>
      </c>
      <c r="G11" s="36" t="s">
        <v>106</v>
      </c>
    </row>
    <row r="12" spans="1:7" ht="15" x14ac:dyDescent="0.2">
      <c r="A12" s="37" t="s">
        <v>18</v>
      </c>
      <c r="B12" s="49"/>
      <c r="C12" s="49"/>
      <c r="D12" s="49"/>
      <c r="E12" s="49"/>
      <c r="F12" s="49"/>
      <c r="G12" s="38"/>
    </row>
    <row r="13" spans="1:7" ht="15.75" thickBot="1" x14ac:dyDescent="0.25">
      <c r="A13" s="51" t="s">
        <v>19</v>
      </c>
      <c r="B13" s="31"/>
      <c r="C13" s="53" t="s">
        <v>17</v>
      </c>
      <c r="D13" s="53" t="s">
        <v>50</v>
      </c>
      <c r="E13" s="43" t="s">
        <v>51</v>
      </c>
      <c r="F13" s="39" t="s">
        <v>78</v>
      </c>
      <c r="G13" s="35" t="s">
        <v>20</v>
      </c>
    </row>
    <row r="14" spans="1:7" ht="15.75" thickBot="1" x14ac:dyDescent="0.25">
      <c r="A14" s="44"/>
      <c r="B14" s="50"/>
      <c r="C14" s="53" t="s">
        <v>49</v>
      </c>
      <c r="D14" s="53" t="s">
        <v>130</v>
      </c>
      <c r="E14" s="43" t="s">
        <v>129</v>
      </c>
      <c r="F14" s="39" t="s">
        <v>131</v>
      </c>
      <c r="G14" s="35"/>
    </row>
    <row r="15" spans="1:7" ht="15.75" thickBot="1" x14ac:dyDescent="0.25">
      <c r="A15" s="44"/>
      <c r="B15" s="50"/>
      <c r="C15" s="53" t="s">
        <v>120</v>
      </c>
      <c r="D15" s="53"/>
      <c r="E15" s="43" t="s">
        <v>118</v>
      </c>
      <c r="F15" s="87" t="s">
        <v>119</v>
      </c>
      <c r="G15" s="35"/>
    </row>
    <row r="16" spans="1:7" ht="15.75" thickBot="1" x14ac:dyDescent="0.25">
      <c r="A16" s="44"/>
      <c r="B16" s="50"/>
      <c r="C16" s="53" t="s">
        <v>114</v>
      </c>
      <c r="D16" s="53" t="s">
        <v>123</v>
      </c>
      <c r="E16" s="43" t="s">
        <v>124</v>
      </c>
      <c r="F16" s="39" t="s">
        <v>125</v>
      </c>
      <c r="G16" s="35"/>
    </row>
    <row r="17" spans="1:7" ht="15" x14ac:dyDescent="0.2">
      <c r="A17" s="30"/>
      <c r="B17" s="31"/>
      <c r="C17" s="53" t="s">
        <v>24</v>
      </c>
      <c r="D17" s="53" t="s">
        <v>25</v>
      </c>
      <c r="E17" s="32" t="s">
        <v>26</v>
      </c>
      <c r="F17" s="39" t="s">
        <v>27</v>
      </c>
      <c r="G17" s="35" t="s">
        <v>21</v>
      </c>
    </row>
    <row r="18" spans="1:7" x14ac:dyDescent="0.2">
      <c r="A18" s="45"/>
      <c r="B18" s="45"/>
      <c r="C18" s="45"/>
      <c r="D18" s="45"/>
      <c r="E18" s="45"/>
      <c r="F18" s="45"/>
      <c r="G18" s="45"/>
    </row>
    <row r="19" spans="1:7" x14ac:dyDescent="0.2">
      <c r="A19" s="45"/>
      <c r="B19" s="45"/>
      <c r="C19" s="45"/>
      <c r="D19" s="45"/>
      <c r="E19" s="45"/>
      <c r="F19" s="45"/>
      <c r="G19" s="45"/>
    </row>
    <row r="20" spans="1:7" x14ac:dyDescent="0.2">
      <c r="A20" s="46"/>
      <c r="B20" s="45"/>
      <c r="C20" s="45"/>
      <c r="D20" s="45"/>
      <c r="E20" s="45"/>
      <c r="F20" s="45"/>
      <c r="G20" s="45"/>
    </row>
    <row r="21" spans="1:7" x14ac:dyDescent="0.2">
      <c r="A21" s="45"/>
      <c r="B21" s="45"/>
      <c r="C21" s="45"/>
      <c r="D21" s="45"/>
      <c r="E21" s="45"/>
      <c r="F21" s="45"/>
      <c r="G21" s="45"/>
    </row>
    <row r="22" spans="1:7" x14ac:dyDescent="0.2">
      <c r="A22" s="45"/>
      <c r="B22" s="45"/>
      <c r="C22" s="45"/>
      <c r="D22" s="45"/>
      <c r="E22" s="45"/>
      <c r="F22" s="45"/>
      <c r="G22" s="45"/>
    </row>
    <row r="23" spans="1:7" x14ac:dyDescent="0.2">
      <c r="A23" s="45"/>
      <c r="B23" s="45"/>
      <c r="C23" s="45"/>
      <c r="D23" s="45"/>
      <c r="E23" s="45"/>
      <c r="F23" s="45"/>
      <c r="G23" s="45"/>
    </row>
    <row r="24" spans="1:7" x14ac:dyDescent="0.2">
      <c r="A24" s="45"/>
      <c r="B24" s="45"/>
      <c r="C24" s="45"/>
      <c r="D24" s="45"/>
      <c r="E24" s="45"/>
      <c r="F24" s="45"/>
      <c r="G24" s="45"/>
    </row>
    <row r="25" spans="1:7" x14ac:dyDescent="0.2">
      <c r="A25" s="45"/>
      <c r="B25" s="45"/>
      <c r="C25" s="45"/>
      <c r="D25" s="45"/>
      <c r="E25" s="45"/>
      <c r="F25" s="45"/>
      <c r="G25" s="45"/>
    </row>
    <row r="26" spans="1:7" x14ac:dyDescent="0.2">
      <c r="A26" s="45"/>
      <c r="B26" s="45"/>
      <c r="C26" s="45"/>
      <c r="D26" s="45"/>
      <c r="E26" s="45"/>
      <c r="F26" s="45"/>
      <c r="G26" s="45"/>
    </row>
    <row r="27" spans="1:7" x14ac:dyDescent="0.2">
      <c r="A27" s="46"/>
      <c r="B27" s="45"/>
      <c r="C27" s="45"/>
      <c r="D27" s="45"/>
      <c r="E27" s="45"/>
      <c r="F27" s="45"/>
      <c r="G27" s="45"/>
    </row>
    <row r="28" spans="1:7" x14ac:dyDescent="0.2">
      <c r="A28" s="45"/>
      <c r="B28" s="45"/>
      <c r="C28" s="45"/>
      <c r="D28" s="45"/>
      <c r="E28" s="45"/>
      <c r="F28" s="45"/>
      <c r="G28" s="45"/>
    </row>
    <row r="29" spans="1:7" x14ac:dyDescent="0.2">
      <c r="A29" s="45"/>
      <c r="B29" s="45"/>
      <c r="C29" s="45"/>
      <c r="D29" s="45"/>
      <c r="E29" s="45"/>
      <c r="F29" s="45"/>
      <c r="G29" s="45"/>
    </row>
    <row r="30" spans="1:7" x14ac:dyDescent="0.2">
      <c r="A30" s="45"/>
      <c r="B30" s="45"/>
      <c r="C30" s="45"/>
      <c r="D30" s="45"/>
      <c r="E30" s="45"/>
      <c r="F30" s="45"/>
      <c r="G30" s="45"/>
    </row>
    <row r="31" spans="1:7" x14ac:dyDescent="0.2">
      <c r="A31" s="45"/>
      <c r="B31" s="45"/>
      <c r="C31" s="45"/>
      <c r="D31" s="45"/>
      <c r="E31" s="45"/>
      <c r="F31" s="45"/>
      <c r="G31" s="45"/>
    </row>
    <row r="32" spans="1:7" x14ac:dyDescent="0.2">
      <c r="A32" s="45"/>
      <c r="B32" s="45"/>
      <c r="C32" s="45"/>
      <c r="D32" s="45"/>
      <c r="E32" s="45"/>
      <c r="F32" s="45"/>
      <c r="G32" s="45"/>
    </row>
    <row r="33" spans="1:7" x14ac:dyDescent="0.2">
      <c r="A33" s="46"/>
      <c r="B33" s="45"/>
      <c r="C33" s="45"/>
      <c r="D33" s="45"/>
      <c r="E33" s="45"/>
      <c r="F33" s="45"/>
      <c r="G33" s="45"/>
    </row>
    <row r="34" spans="1:7" x14ac:dyDescent="0.2">
      <c r="A34" s="45"/>
      <c r="B34" s="45"/>
      <c r="C34" s="45"/>
      <c r="D34" s="45"/>
      <c r="E34" s="45"/>
      <c r="F34" s="45"/>
      <c r="G34" s="45"/>
    </row>
    <row r="35" spans="1:7" x14ac:dyDescent="0.2">
      <c r="A35" s="45"/>
      <c r="B35" s="45"/>
      <c r="C35" s="45"/>
      <c r="D35" s="45"/>
      <c r="E35" s="45"/>
      <c r="F35" s="45"/>
      <c r="G35" s="45"/>
    </row>
    <row r="36" spans="1:7" x14ac:dyDescent="0.2">
      <c r="A36" s="45"/>
      <c r="B36" s="45"/>
      <c r="C36" s="45"/>
      <c r="D36" s="45"/>
      <c r="E36" s="45"/>
      <c r="F36" s="45"/>
      <c r="G36" s="45"/>
    </row>
    <row r="37" spans="1:7" x14ac:dyDescent="0.2">
      <c r="A37" s="45"/>
      <c r="B37" s="45"/>
      <c r="C37" s="45"/>
      <c r="D37" s="45"/>
      <c r="E37" s="45"/>
      <c r="F37" s="45"/>
      <c r="G37" s="45"/>
    </row>
  </sheetData>
  <hyperlinks>
    <hyperlink ref="E17" r:id="rId1" display="mailto:OANikityuk@fesco.com" xr:uid="{00000000-0004-0000-0200-000000000000}"/>
    <hyperlink ref="E8" r:id="rId2" xr:uid="{00000000-0004-0000-0200-000002000000}"/>
    <hyperlink ref="E4" r:id="rId3" xr:uid="{00000000-0004-0000-0200-000003000000}"/>
    <hyperlink ref="E6" r:id="rId4" display="mailto:IShakhlamov@fesco.com" xr:uid="{00000000-0004-0000-0200-000005000000}"/>
    <hyperlink ref="E10" r:id="rId5" xr:uid="{00000000-0004-0000-0200-000006000000}"/>
    <hyperlink ref="E11" r:id="rId6" display="mailto:bboztuna@barkonship.com" xr:uid="{09C9F073-7D44-4355-A43A-C5A4D038C9F9}"/>
    <hyperlink ref="E9" r:id="rId7" display="mailto:ccevik@barkonship.com" xr:uid="{B609630B-5F22-47F0-AC7C-21D6CBC033FE}"/>
    <hyperlink ref="E15" r:id="rId8" display="mailto:Salesnvr@fesco.com" xr:uid="{D43F55BF-2EA9-4BDA-9DD9-57A9DCA039E6}"/>
    <hyperlink ref="E13" r:id="rId9" display="mailto:AMarkin@fesco.com" xr:uid="{6ABA02D5-DFE2-4FD9-848D-377E8FCCFE56}"/>
    <hyperlink ref="E16" r:id="rId10" display="mailto:AKryuchkova@fesco.com" xr:uid="{A1E9F238-52EE-48D5-A010-1AA3674ABBC3}"/>
    <hyperlink ref="E14" r:id="rId11" display="mailto:AKalchevskaya@fesco.com" xr:uid="{1C924BEF-0955-43C2-9CC2-28B4F5BD7327}"/>
  </hyperlinks>
  <pageMargins left="0.7" right="0.7" top="0.75" bottom="0.75" header="0.3" footer="0.3"/>
  <pageSetup paperSize="9" orientation="portrait" r:id="rId1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A545BA562CA5184391D33E4FFC3305FC" ma:contentTypeVersion="14" ma:contentTypeDescription="Создание документа." ma:contentTypeScope="" ma:versionID="bf32676cd0b80d6f6afa0fdbbb4aa1af">
  <xsd:schema xmlns:xsd="http://www.w3.org/2001/XMLSchema" xmlns:xs="http://www.w3.org/2001/XMLSchema" xmlns:p="http://schemas.microsoft.com/office/2006/metadata/properties" xmlns:ns3="4cd7b540-c2f4-4d69-b323-54455ec30f5c" xmlns:ns4="043cee95-4b7b-420b-93c6-9f967a2f8de0" targetNamespace="http://schemas.microsoft.com/office/2006/metadata/properties" ma:root="true" ma:fieldsID="5ca3947644bc028a5167516b55f13dc1" ns3:_="" ns4:_="">
    <xsd:import namespace="4cd7b540-c2f4-4d69-b323-54455ec30f5c"/>
    <xsd:import namespace="043cee95-4b7b-420b-93c6-9f967a2f8de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d7b540-c2f4-4d69-b323-54455ec30f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3cee95-4b7b-420b-93c6-9f967a2f8de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Хэш подсказки о совместном доступе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cd7b540-c2f4-4d69-b323-54455ec30f5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900B72-563C-4132-9B71-D99F19AE50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d7b540-c2f4-4d69-b323-54455ec30f5c"/>
    <ds:schemaRef ds:uri="043cee95-4b7b-420b-93c6-9f967a2f8d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35AAE0-19A7-4CD5-9069-602929DE8A93}">
  <ds:schemaRefs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purl.org/dc/elements/1.1/"/>
    <ds:schemaRef ds:uri="http://purl.org/dc/terms/"/>
    <ds:schemaRef ds:uri="043cee95-4b7b-420b-93c6-9f967a2f8de0"/>
    <ds:schemaRef ds:uri="4cd7b540-c2f4-4d69-b323-54455ec30f5c"/>
  </ds:schemaRefs>
</ds:datastoreItem>
</file>

<file path=customXml/itemProps3.xml><?xml version="1.0" encoding="utf-8"?>
<ds:datastoreItem xmlns:ds="http://schemas.openxmlformats.org/officeDocument/2006/customXml" ds:itemID="{1FB9ECB7-2A8B-4D48-89C4-0241772A18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FTBS Tariff</vt:lpstr>
      <vt:lpstr>IMO</vt:lpstr>
      <vt:lpstr>DEMDET</vt:lpstr>
      <vt:lpstr>Contact List</vt:lpstr>
      <vt:lpstr>'FTBS Tariff'!Print_Area</vt:lpstr>
    </vt:vector>
  </TitlesOfParts>
  <Company>FLM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Bonita Chan</dc:creator>
  <cp:lastModifiedBy>Skantarova Adriana</cp:lastModifiedBy>
  <cp:lastPrinted>2015-09-29T07:07:47Z</cp:lastPrinted>
  <dcterms:created xsi:type="dcterms:W3CDTF">2013-01-05T03:19:19Z</dcterms:created>
  <dcterms:modified xsi:type="dcterms:W3CDTF">2026-07-20T13:07:31Z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0x010100A545BA562CA5184391D33E4FFC3305FC</vt:lpwstr>
  </property>
</Properties>
</file>